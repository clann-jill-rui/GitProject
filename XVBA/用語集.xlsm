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ab\Desktop\XVBA\"/>
    </mc:Choice>
  </mc:AlternateContent>
  <xr:revisionPtr revIDLastSave="0" documentId="13_ncr:1_{EFA14A90-10B9-415C-B6B3-354DECDF750D}" xr6:coauthVersionLast="47" xr6:coauthVersionMax="47" xr10:uidLastSave="{00000000-0000-0000-0000-000000000000}"/>
  <bookViews>
    <workbookView xWindow="0" yWindow="-16200" windowWidth="14400" windowHeight="15600" activeTab="2" xr2:uid="{642848E6-F4D2-4884-8C53-8E1982E398BE}"/>
    <workbookView xWindow="-120" yWindow="-16320" windowWidth="29040" windowHeight="15840" activeTab="2" xr2:uid="{E43C41B4-A8BD-4821-8A37-82FD32012A2D}"/>
  </bookViews>
  <sheets>
    <sheet name="取込用シート" sheetId="1" r:id="rId1"/>
    <sheet name="カテゴリ管理" sheetId="3" r:id="rId2"/>
    <sheet name="コード表" sheetId="5" r:id="rId3"/>
    <sheet name="作業用" sheetId="2" r:id="rId4"/>
  </sheets>
  <definedNames>
    <definedName name="_xleta.N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1" i="5" l="1"/>
  <c r="H192" i="5"/>
  <c r="H193" i="5"/>
  <c r="H194" i="5"/>
  <c r="H195" i="5"/>
  <c r="H196" i="5"/>
  <c r="H197" i="5"/>
  <c r="H198" i="5"/>
  <c r="H199" i="5"/>
  <c r="H200" i="5"/>
  <c r="H201" i="5"/>
  <c r="H202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O45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2" i="5"/>
  <c r="M245" i="5"/>
  <c r="D3" i="5"/>
  <c r="D4" i="5"/>
  <c r="D5" i="5"/>
  <c r="G5" i="5" s="1"/>
  <c r="D6" i="5"/>
  <c r="G6" i="5" s="1"/>
  <c r="D7" i="5"/>
  <c r="D8" i="5"/>
  <c r="D9" i="5"/>
  <c r="G9" i="5" s="1"/>
  <c r="D10" i="5"/>
  <c r="G10" i="5" s="1"/>
  <c r="D11" i="5"/>
  <c r="D12" i="5"/>
  <c r="D13" i="5"/>
  <c r="G13" i="5" s="1"/>
  <c r="D14" i="5"/>
  <c r="G14" i="5" s="1"/>
  <c r="D15" i="5"/>
  <c r="D16" i="5"/>
  <c r="D17" i="5"/>
  <c r="G17" i="5" s="1"/>
  <c r="D18" i="5"/>
  <c r="G18" i="5" s="1"/>
  <c r="D19" i="5"/>
  <c r="D20" i="5"/>
  <c r="D21" i="5"/>
  <c r="G21" i="5" s="1"/>
  <c r="D22" i="5"/>
  <c r="G22" i="5" s="1"/>
  <c r="D23" i="5"/>
  <c r="D24" i="5"/>
  <c r="D25" i="5"/>
  <c r="G25" i="5" s="1"/>
  <c r="D26" i="5"/>
  <c r="G26" i="5" s="1"/>
  <c r="D27" i="5"/>
  <c r="D28" i="5"/>
  <c r="D29" i="5"/>
  <c r="G29" i="5" s="1"/>
  <c r="D30" i="5"/>
  <c r="G30" i="5" s="1"/>
  <c r="D31" i="5"/>
  <c r="D32" i="5"/>
  <c r="D33" i="5"/>
  <c r="G33" i="5" s="1"/>
  <c r="D34" i="5"/>
  <c r="G34" i="5" s="1"/>
  <c r="D35" i="5"/>
  <c r="D36" i="5"/>
  <c r="D37" i="5"/>
  <c r="G37" i="5" s="1"/>
  <c r="D38" i="5"/>
  <c r="G38" i="5" s="1"/>
  <c r="D39" i="5"/>
  <c r="D40" i="5"/>
  <c r="D41" i="5"/>
  <c r="G41" i="5" s="1"/>
  <c r="D42" i="5"/>
  <c r="G42" i="5" s="1"/>
  <c r="D43" i="5"/>
  <c r="D44" i="5"/>
  <c r="D45" i="5"/>
  <c r="G45" i="5" s="1"/>
  <c r="D46" i="5"/>
  <c r="G46" i="5" s="1"/>
  <c r="D47" i="5"/>
  <c r="D48" i="5"/>
  <c r="D49" i="5"/>
  <c r="G49" i="5" s="1"/>
  <c r="D50" i="5"/>
  <c r="G50" i="5" s="1"/>
  <c r="D51" i="5"/>
  <c r="D52" i="5"/>
  <c r="D53" i="5"/>
  <c r="G53" i="5" s="1"/>
  <c r="D54" i="5"/>
  <c r="G54" i="5" s="1"/>
  <c r="D55" i="5"/>
  <c r="D56" i="5"/>
  <c r="D57" i="5"/>
  <c r="G57" i="5" s="1"/>
  <c r="D58" i="5"/>
  <c r="G58" i="5" s="1"/>
  <c r="D59" i="5"/>
  <c r="D60" i="5"/>
  <c r="D61" i="5"/>
  <c r="G61" i="5" s="1"/>
  <c r="D62" i="5"/>
  <c r="G62" i="5" s="1"/>
  <c r="D63" i="5"/>
  <c r="D64" i="5"/>
  <c r="D65" i="5"/>
  <c r="G65" i="5" s="1"/>
  <c r="D66" i="5"/>
  <c r="G66" i="5" s="1"/>
  <c r="D67" i="5"/>
  <c r="D68" i="5"/>
  <c r="D69" i="5"/>
  <c r="G69" i="5" s="1"/>
  <c r="D70" i="5"/>
  <c r="G70" i="5" s="1"/>
  <c r="D71" i="5"/>
  <c r="D72" i="5"/>
  <c r="D73" i="5"/>
  <c r="G73" i="5" s="1"/>
  <c r="D74" i="5"/>
  <c r="G74" i="5" s="1"/>
  <c r="D75" i="5"/>
  <c r="D76" i="5"/>
  <c r="D77" i="5"/>
  <c r="G77" i="5" s="1"/>
  <c r="D78" i="5"/>
  <c r="G78" i="5" s="1"/>
  <c r="D79" i="5"/>
  <c r="D80" i="5"/>
  <c r="D81" i="5"/>
  <c r="G81" i="5" s="1"/>
  <c r="D82" i="5"/>
  <c r="G82" i="5" s="1"/>
  <c r="D83" i="5"/>
  <c r="D84" i="5"/>
  <c r="D85" i="5"/>
  <c r="G85" i="5" s="1"/>
  <c r="D86" i="5"/>
  <c r="G86" i="5" s="1"/>
  <c r="D87" i="5"/>
  <c r="D88" i="5"/>
  <c r="D89" i="5"/>
  <c r="G89" i="5" s="1"/>
  <c r="D90" i="5"/>
  <c r="G90" i="5" s="1"/>
  <c r="D91" i="5"/>
  <c r="D92" i="5"/>
  <c r="D93" i="5"/>
  <c r="G93" i="5" s="1"/>
  <c r="D94" i="5"/>
  <c r="G94" i="5" s="1"/>
  <c r="D95" i="5"/>
  <c r="D96" i="5"/>
  <c r="D97" i="5"/>
  <c r="G97" i="5" s="1"/>
  <c r="D98" i="5"/>
  <c r="G98" i="5" s="1"/>
  <c r="D99" i="5"/>
  <c r="D100" i="5"/>
  <c r="D101" i="5"/>
  <c r="G101" i="5" s="1"/>
  <c r="D102" i="5"/>
  <c r="G102" i="5" s="1"/>
  <c r="D103" i="5"/>
  <c r="D104" i="5"/>
  <c r="D105" i="5"/>
  <c r="G105" i="5" s="1"/>
  <c r="D106" i="5"/>
  <c r="G106" i="5" s="1"/>
  <c r="D107" i="5"/>
  <c r="D108" i="5"/>
  <c r="D109" i="5"/>
  <c r="G109" i="5" s="1"/>
  <c r="D110" i="5"/>
  <c r="G110" i="5" s="1"/>
  <c r="D111" i="5"/>
  <c r="D112" i="5"/>
  <c r="D113" i="5"/>
  <c r="G113" i="5" s="1"/>
  <c r="D114" i="5"/>
  <c r="G114" i="5" s="1"/>
  <c r="D115" i="5"/>
  <c r="D116" i="5"/>
  <c r="D117" i="5"/>
  <c r="G117" i="5" s="1"/>
  <c r="D118" i="5"/>
  <c r="G118" i="5" s="1"/>
  <c r="D119" i="5"/>
  <c r="D120" i="5"/>
  <c r="D121" i="5"/>
  <c r="G121" i="5" s="1"/>
  <c r="D122" i="5"/>
  <c r="G122" i="5" s="1"/>
  <c r="D123" i="5"/>
  <c r="D124" i="5"/>
  <c r="D125" i="5"/>
  <c r="G125" i="5" s="1"/>
  <c r="D126" i="5"/>
  <c r="G126" i="5" s="1"/>
  <c r="D127" i="5"/>
  <c r="D128" i="5"/>
  <c r="D129" i="5"/>
  <c r="G129" i="5" s="1"/>
  <c r="D130" i="5"/>
  <c r="G130" i="5" s="1"/>
  <c r="D131" i="5"/>
  <c r="D132" i="5"/>
  <c r="D133" i="5"/>
  <c r="G133" i="5" s="1"/>
  <c r="D134" i="5"/>
  <c r="G134" i="5" s="1"/>
  <c r="D135" i="5"/>
  <c r="D136" i="5"/>
  <c r="D137" i="5"/>
  <c r="G137" i="5" s="1"/>
  <c r="D138" i="5"/>
  <c r="G138" i="5" s="1"/>
  <c r="H138" i="5" s="1"/>
  <c r="D139" i="5"/>
  <c r="G139" i="5" s="1"/>
  <c r="H139" i="5" s="1"/>
  <c r="D140" i="5"/>
  <c r="G140" i="5" s="1"/>
  <c r="H140" i="5" s="1"/>
  <c r="D141" i="5"/>
  <c r="G141" i="5" s="1"/>
  <c r="H141" i="5" s="1"/>
  <c r="D142" i="5"/>
  <c r="G142" i="5" s="1"/>
  <c r="H142" i="5" s="1"/>
  <c r="D143" i="5"/>
  <c r="G143" i="5" s="1"/>
  <c r="H143" i="5" s="1"/>
  <c r="D144" i="5"/>
  <c r="G144" i="5" s="1"/>
  <c r="H144" i="5" s="1"/>
  <c r="D145" i="5"/>
  <c r="G145" i="5" s="1"/>
  <c r="H145" i="5" s="1"/>
  <c r="D146" i="5"/>
  <c r="G146" i="5" s="1"/>
  <c r="H146" i="5" s="1"/>
  <c r="D147" i="5"/>
  <c r="G147" i="5" s="1"/>
  <c r="H147" i="5" s="1"/>
  <c r="D148" i="5"/>
  <c r="G148" i="5" s="1"/>
  <c r="H148" i="5" s="1"/>
  <c r="D149" i="5"/>
  <c r="G149" i="5" s="1"/>
  <c r="H149" i="5" s="1"/>
  <c r="D150" i="5"/>
  <c r="G150" i="5" s="1"/>
  <c r="H150" i="5" s="1"/>
  <c r="D151" i="5"/>
  <c r="G151" i="5" s="1"/>
  <c r="H151" i="5" s="1"/>
  <c r="D152" i="5"/>
  <c r="G152" i="5" s="1"/>
  <c r="H152" i="5" s="1"/>
  <c r="D153" i="5"/>
  <c r="G153" i="5" s="1"/>
  <c r="H153" i="5" s="1"/>
  <c r="D154" i="5"/>
  <c r="G154" i="5" s="1"/>
  <c r="H154" i="5" s="1"/>
  <c r="D155" i="5"/>
  <c r="G155" i="5" s="1"/>
  <c r="H155" i="5" s="1"/>
  <c r="D156" i="5"/>
  <c r="G156" i="5" s="1"/>
  <c r="H156" i="5" s="1"/>
  <c r="D157" i="5"/>
  <c r="G157" i="5" s="1"/>
  <c r="H157" i="5" s="1"/>
  <c r="D158" i="5"/>
  <c r="G158" i="5" s="1"/>
  <c r="H158" i="5" s="1"/>
  <c r="D159" i="5"/>
  <c r="G159" i="5" s="1"/>
  <c r="H159" i="5" s="1"/>
  <c r="D160" i="5"/>
  <c r="G160" i="5" s="1"/>
  <c r="H160" i="5" s="1"/>
  <c r="D161" i="5"/>
  <c r="G161" i="5" s="1"/>
  <c r="H161" i="5" s="1"/>
  <c r="D162" i="5"/>
  <c r="G162" i="5" s="1"/>
  <c r="H162" i="5" s="1"/>
  <c r="D163" i="5"/>
  <c r="G163" i="5" s="1"/>
  <c r="H163" i="5" s="1"/>
  <c r="D164" i="5"/>
  <c r="G164" i="5" s="1"/>
  <c r="H164" i="5" s="1"/>
  <c r="D165" i="5"/>
  <c r="G165" i="5" s="1"/>
  <c r="H165" i="5" s="1"/>
  <c r="D166" i="5"/>
  <c r="G166" i="5" s="1"/>
  <c r="H166" i="5" s="1"/>
  <c r="D167" i="5"/>
  <c r="G167" i="5" s="1"/>
  <c r="H167" i="5" s="1"/>
  <c r="D168" i="5"/>
  <c r="G168" i="5" s="1"/>
  <c r="H168" i="5" s="1"/>
  <c r="D169" i="5"/>
  <c r="G169" i="5" s="1"/>
  <c r="H169" i="5" s="1"/>
  <c r="D170" i="5"/>
  <c r="G170" i="5" s="1"/>
  <c r="H170" i="5" s="1"/>
  <c r="D171" i="5"/>
  <c r="G171" i="5" s="1"/>
  <c r="H171" i="5" s="1"/>
  <c r="D172" i="5"/>
  <c r="G172" i="5" s="1"/>
  <c r="H172" i="5" s="1"/>
  <c r="D173" i="5"/>
  <c r="G173" i="5" s="1"/>
  <c r="H173" i="5" s="1"/>
  <c r="D174" i="5"/>
  <c r="G174" i="5" s="1"/>
  <c r="H174" i="5" s="1"/>
  <c r="D175" i="5"/>
  <c r="G175" i="5" s="1"/>
  <c r="H175" i="5" s="1"/>
  <c r="D176" i="5"/>
  <c r="G176" i="5" s="1"/>
  <c r="H176" i="5" s="1"/>
  <c r="D177" i="5"/>
  <c r="G177" i="5" s="1"/>
  <c r="H177" i="5" s="1"/>
  <c r="D178" i="5"/>
  <c r="G178" i="5" s="1"/>
  <c r="H178" i="5" s="1"/>
  <c r="D179" i="5"/>
  <c r="G179" i="5" s="1"/>
  <c r="H179" i="5" s="1"/>
  <c r="D180" i="5"/>
  <c r="G180" i="5" s="1"/>
  <c r="H180" i="5" s="1"/>
  <c r="D181" i="5"/>
  <c r="G181" i="5" s="1"/>
  <c r="H181" i="5" s="1"/>
  <c r="D182" i="5"/>
  <c r="G182" i="5" s="1"/>
  <c r="H182" i="5" s="1"/>
  <c r="D183" i="5"/>
  <c r="G183" i="5" s="1"/>
  <c r="H183" i="5" s="1"/>
  <c r="D184" i="5"/>
  <c r="G184" i="5" s="1"/>
  <c r="H184" i="5" s="1"/>
  <c r="D185" i="5"/>
  <c r="G185" i="5" s="1"/>
  <c r="H185" i="5" s="1"/>
  <c r="D186" i="5"/>
  <c r="G186" i="5" s="1"/>
  <c r="H186" i="5" s="1"/>
  <c r="D187" i="5"/>
  <c r="G187" i="5" s="1"/>
  <c r="H187" i="5" s="1"/>
  <c r="D188" i="5"/>
  <c r="G188" i="5" s="1"/>
  <c r="H188" i="5" s="1"/>
  <c r="D189" i="5"/>
  <c r="G189" i="5" s="1"/>
  <c r="H189" i="5" s="1"/>
  <c r="D190" i="5"/>
  <c r="G190" i="5" s="1"/>
  <c r="H190" i="5" s="1"/>
  <c r="D191" i="5"/>
  <c r="D192" i="5"/>
  <c r="D193" i="5"/>
  <c r="D194" i="5"/>
  <c r="D195" i="5"/>
  <c r="D196" i="5"/>
  <c r="D197" i="5"/>
  <c r="D198" i="5"/>
  <c r="D199" i="5"/>
  <c r="D200" i="5"/>
  <c r="D201" i="5"/>
  <c r="D202" i="5"/>
  <c r="D2" i="5"/>
  <c r="B60" i="2" a="1"/>
  <c r="G51" i="5" l="1"/>
  <c r="G47" i="5"/>
  <c r="G132" i="5"/>
  <c r="G128" i="5"/>
  <c r="G124" i="5"/>
  <c r="G120" i="5"/>
  <c r="G116" i="5"/>
  <c r="G112" i="5"/>
  <c r="G108" i="5"/>
  <c r="G104" i="5"/>
  <c r="G100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G136" i="5"/>
  <c r="G2" i="5"/>
  <c r="G135" i="5"/>
  <c r="G131" i="5"/>
  <c r="G127" i="5"/>
  <c r="G123" i="5"/>
  <c r="G119" i="5"/>
  <c r="G115" i="5"/>
  <c r="G111" i="5"/>
  <c r="G107" i="5"/>
  <c r="G103" i="5"/>
  <c r="G99" i="5"/>
  <c r="G95" i="5"/>
  <c r="G91" i="5"/>
  <c r="G87" i="5"/>
  <c r="G83" i="5"/>
  <c r="G79" i="5"/>
  <c r="G75" i="5"/>
  <c r="G71" i="5"/>
  <c r="G67" i="5"/>
  <c r="G63" i="5"/>
  <c r="G59" i="5"/>
  <c r="G55" i="5"/>
  <c r="G43" i="5"/>
  <c r="G39" i="5"/>
  <c r="G35" i="5"/>
  <c r="G31" i="5"/>
  <c r="G27" i="5"/>
  <c r="G23" i="5"/>
  <c r="G19" i="5"/>
  <c r="G15" i="5"/>
  <c r="G11" i="5"/>
  <c r="G7" i="5"/>
  <c r="G3" i="5"/>
  <c r="B60" i="2"/>
  <c r="H15" i="5" l="1"/>
  <c r="H7" i="5"/>
  <c r="H23" i="5"/>
  <c r="H55" i="5"/>
  <c r="H87" i="5"/>
  <c r="H3" i="5"/>
  <c r="H19" i="5"/>
  <c r="H35" i="5"/>
  <c r="H59" i="5"/>
  <c r="H75" i="5"/>
  <c r="H91" i="5"/>
  <c r="H107" i="5"/>
  <c r="H123" i="5"/>
  <c r="H6" i="5"/>
  <c r="H22" i="5"/>
  <c r="H38" i="5"/>
  <c r="H54" i="5"/>
  <c r="H70" i="5"/>
  <c r="H86" i="5"/>
  <c r="H114" i="5"/>
  <c r="H2" i="5"/>
  <c r="H76" i="5"/>
  <c r="H108" i="5"/>
  <c r="H105" i="5"/>
  <c r="H126" i="5"/>
  <c r="H16" i="5"/>
  <c r="H32" i="5"/>
  <c r="H48" i="5"/>
  <c r="H80" i="5"/>
  <c r="H112" i="5"/>
  <c r="H109" i="5"/>
  <c r="H122" i="5"/>
  <c r="H17" i="5"/>
  <c r="H33" i="5"/>
  <c r="H49" i="5"/>
  <c r="H65" i="5"/>
  <c r="H81" i="5"/>
  <c r="H97" i="5"/>
  <c r="H137" i="5"/>
  <c r="H39" i="5"/>
  <c r="H79" i="5"/>
  <c r="H95" i="5"/>
  <c r="H111" i="5"/>
  <c r="H127" i="5"/>
  <c r="H10" i="5"/>
  <c r="H26" i="5"/>
  <c r="H42" i="5"/>
  <c r="H58" i="5"/>
  <c r="H74" i="5"/>
  <c r="H90" i="5"/>
  <c r="H130" i="5"/>
  <c r="H52" i="5"/>
  <c r="H84" i="5"/>
  <c r="H116" i="5"/>
  <c r="H121" i="5"/>
  <c r="H4" i="5"/>
  <c r="H20" i="5"/>
  <c r="H36" i="5"/>
  <c r="H56" i="5"/>
  <c r="H88" i="5"/>
  <c r="H120" i="5"/>
  <c r="H117" i="5"/>
  <c r="H5" i="5"/>
  <c r="H21" i="5"/>
  <c r="H37" i="5"/>
  <c r="H53" i="5"/>
  <c r="H69" i="5"/>
  <c r="H85" i="5"/>
  <c r="H101" i="5"/>
  <c r="H110" i="5"/>
  <c r="H63" i="5"/>
  <c r="H11" i="5"/>
  <c r="H27" i="5"/>
  <c r="H43" i="5"/>
  <c r="H67" i="5"/>
  <c r="H83" i="5"/>
  <c r="H99" i="5"/>
  <c r="H115" i="5"/>
  <c r="H131" i="5"/>
  <c r="H14" i="5"/>
  <c r="H30" i="5"/>
  <c r="H46" i="5"/>
  <c r="H62" i="5"/>
  <c r="H78" i="5"/>
  <c r="H94" i="5"/>
  <c r="H47" i="5"/>
  <c r="H60" i="5"/>
  <c r="H92" i="5"/>
  <c r="H124" i="5"/>
  <c r="H133" i="5"/>
  <c r="H8" i="5"/>
  <c r="H24" i="5"/>
  <c r="H40" i="5"/>
  <c r="H64" i="5"/>
  <c r="H96" i="5"/>
  <c r="H128" i="5"/>
  <c r="H129" i="5"/>
  <c r="H9" i="5"/>
  <c r="H25" i="5"/>
  <c r="H41" i="5"/>
  <c r="H57" i="5"/>
  <c r="H73" i="5"/>
  <c r="H89" i="5"/>
  <c r="H113" i="5"/>
  <c r="H118" i="5"/>
  <c r="H31" i="5"/>
  <c r="H71" i="5"/>
  <c r="H103" i="5"/>
  <c r="H119" i="5"/>
  <c r="H135" i="5"/>
  <c r="H18" i="5"/>
  <c r="H34" i="5"/>
  <c r="H50" i="5"/>
  <c r="H66" i="5"/>
  <c r="H82" i="5"/>
  <c r="H98" i="5"/>
  <c r="H51" i="5"/>
  <c r="H68" i="5"/>
  <c r="H100" i="5"/>
  <c r="H132" i="5"/>
  <c r="H106" i="5"/>
  <c r="H12" i="5"/>
  <c r="H28" i="5"/>
  <c r="H44" i="5"/>
  <c r="H72" i="5"/>
  <c r="H104" i="5"/>
  <c r="H136" i="5"/>
  <c r="H102" i="5"/>
  <c r="H13" i="5"/>
  <c r="H29" i="5"/>
  <c r="H45" i="5"/>
  <c r="H61" i="5"/>
  <c r="H77" i="5"/>
  <c r="H93" i="5"/>
  <c r="H125" i="5"/>
  <c r="H134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<sst xmlns="http://schemas.openxmlformats.org/spreadsheetml/2006/main" count="934" uniqueCount="388">
  <si>
    <t>コード</t>
    <phoneticPr fontId="1"/>
  </si>
  <si>
    <t>用語</t>
    <rPh sb="0" eb="2">
      <t>ヨウゴ</t>
    </rPh>
    <phoneticPr fontId="1"/>
  </si>
  <si>
    <t>意味</t>
    <rPh sb="0" eb="2">
      <t>イミ</t>
    </rPh>
    <phoneticPr fontId="1"/>
  </si>
  <si>
    <t>カテゴリ</t>
    <phoneticPr fontId="1"/>
  </si>
  <si>
    <t>閲覧数</t>
    <rPh sb="0" eb="3">
      <t>エツランスウ</t>
    </rPh>
    <phoneticPr fontId="1"/>
  </si>
  <si>
    <t>リンク</t>
    <phoneticPr fontId="1"/>
  </si>
  <si>
    <t>作成日</t>
    <rPh sb="0" eb="3">
      <t>サクセイビ</t>
    </rPh>
    <phoneticPr fontId="1"/>
  </si>
  <si>
    <t>更新日</t>
    <rPh sb="0" eb="3">
      <t>コウシンビ</t>
    </rPh>
    <phoneticPr fontId="1"/>
  </si>
  <si>
    <t>修正内容</t>
    <rPh sb="0" eb="4">
      <t>シュウセイナイヨウ</t>
    </rPh>
    <phoneticPr fontId="1"/>
  </si>
  <si>
    <t>Gitの基本用語</t>
  </si>
  <si>
    <t>プロジェクトのファイルとその履歴を保存する場所。</t>
  </si>
  <si>
    <t>変更をリポジトリに保存すること。特定の状態をスナップショットとして記録します。</t>
  </si>
  <si>
    <t>ローカルリポジトリの変更をリモートリポジトリに送信すること。</t>
  </si>
  <si>
    <t>リモートリポジトリの変更をローカルリポジトリに取り込むこと。</t>
  </si>
  <si>
    <t>開発の独立したライン。新しい機能や修正を行うために使用します。</t>
  </si>
  <si>
    <t>異なるブランチの変更を統合すること。</t>
  </si>
  <si>
    <t>コミットするために変更を一時的に保存するエリア。</t>
  </si>
  <si>
    <t>リモートリポジトリのコピーをローカルに作成すること。</t>
  </si>
  <si>
    <t>他のリポジトリのコピーを作成し、自分のアカウント下で管理すること。</t>
  </si>
  <si>
    <t>ブランチ名を変更する。</t>
  </si>
  <si>
    <t>コミット履歴をグラフ形式で表示する。</t>
  </si>
  <si>
    <t>現在の作業ツリーの状態を表示する。</t>
  </si>
  <si>
    <t>すべての変更をステージングエリアに追加する。</t>
  </si>
  <si>
    <t>ステージングエリアの変更をコミットする。</t>
  </si>
  <si>
    <t>指定したブランチの変更をリモートリポジトリにプッシュする。</t>
  </si>
  <si>
    <t>設定されているリモートリポジトリのURLを表示する。</t>
  </si>
  <si>
    <t>リモートリポジトリのURLを変更する。</t>
  </si>
  <si>
    <t>リモートリポジトリをローカルにクローンする。</t>
  </si>
  <si>
    <t>リモートリポジトリから指定したブランチを削除する。</t>
  </si>
  <si>
    <t>リポジトリ (Repository)</t>
  </si>
  <si>
    <t>コミット (Commit)</t>
  </si>
  <si>
    <t>プッシュ (Push)</t>
  </si>
  <si>
    <t>プル (Pull)</t>
  </si>
  <si>
    <t>ブランチ (Branch)</t>
  </si>
  <si>
    <t>マージ (Merge)</t>
  </si>
  <si>
    <t>ステージング (Staging)</t>
  </si>
  <si>
    <t>クローン (Clone)</t>
  </si>
  <si>
    <t>フォーク (Fork)</t>
  </si>
  <si>
    <t>git branch -m &lt;新しいブランチ名&gt;</t>
  </si>
  <si>
    <t>git log --oneline --graph --decorate --all</t>
  </si>
  <si>
    <t>git status</t>
  </si>
  <si>
    <t>git add .</t>
  </si>
  <si>
    <t>git commit -m "&lt;メッセージ&gt;"</t>
  </si>
  <si>
    <t>git push origin &lt;ブランチ名&gt;</t>
  </si>
  <si>
    <t>git remote -v</t>
  </si>
  <si>
    <t>git remote set-url origin &lt;新しいURL&gt;</t>
  </si>
  <si>
    <t>git clone &lt;リポジトリのURL&gt;</t>
  </si>
  <si>
    <t>git push origin --delete &lt;ブランチ名&gt;</t>
  </si>
  <si>
    <t>コマンド</t>
    <phoneticPr fontId="1"/>
  </si>
  <si>
    <t>Git</t>
    <phoneticPr fontId="1"/>
  </si>
  <si>
    <t>プログラミング言語</t>
    <rPh sb="7" eb="9">
      <t>ゲンゴ</t>
    </rPh>
    <phoneticPr fontId="1"/>
  </si>
  <si>
    <t>Java</t>
    <phoneticPr fontId="1"/>
  </si>
  <si>
    <t>JavaScript</t>
    <phoneticPr fontId="1"/>
  </si>
  <si>
    <t>構文</t>
  </si>
  <si>
    <t>親カテゴリ</t>
    <rPh sb="0" eb="1">
      <t>オヤ</t>
    </rPh>
    <phoneticPr fontId="1"/>
  </si>
  <si>
    <t>子カテゴリ</t>
    <rPh sb="0" eb="1">
      <t>コ</t>
    </rPh>
    <phoneticPr fontId="1"/>
  </si>
  <si>
    <t>孫カテゴリ</t>
    <rPh sb="0" eb="1">
      <t>マゴ</t>
    </rPh>
    <phoneticPr fontId="1"/>
  </si>
  <si>
    <t>データ型</t>
  </si>
  <si>
    <t>標準ライブラリ</t>
  </si>
  <si>
    <t>外部ライブラリ</t>
  </si>
  <si>
    <t>フレームワーク</t>
  </si>
  <si>
    <t>IDE（統合開発環境）</t>
  </si>
  <si>
    <t>テキストエディタ</t>
  </si>
  <si>
    <t>デバッガ</t>
  </si>
  <si>
    <t>オブジェクト指向</t>
  </si>
  <si>
    <t>関数型</t>
  </si>
  <si>
    <t>手続き型</t>
  </si>
  <si>
    <t>SQL接続</t>
  </si>
  <si>
    <t>ORM（オブジェクトリレーショナルマッピング）</t>
  </si>
  <si>
    <t>ユニットテスト</t>
  </si>
  <si>
    <t>統合テスト</t>
  </si>
  <si>
    <t>モック</t>
  </si>
  <si>
    <t>最適化技術</t>
  </si>
  <si>
    <t>メモリ管理</t>
  </si>
  <si>
    <t>スレッド管理</t>
  </si>
  <si>
    <t>例外処理</t>
  </si>
  <si>
    <t>ロギング</t>
  </si>
  <si>
    <t xml:space="preserve"> 離散数学 </t>
  </si>
  <si>
    <t xml:space="preserve"> 応用数学 </t>
  </si>
  <si>
    <t> 情報に関する理論</t>
  </si>
  <si>
    <t> 通信に関する理論</t>
  </si>
  <si>
    <t xml:space="preserve"> 計測・制御に関する理論 </t>
  </si>
  <si>
    <t> データ構造</t>
  </si>
  <si>
    <t xml:space="preserve"> アルゴリズム </t>
  </si>
  <si>
    <t> プログラミング</t>
  </si>
  <si>
    <t> プログラム言語</t>
  </si>
  <si>
    <t xml:space="preserve"> その他の言語 </t>
  </si>
  <si>
    <t> 基礎理論</t>
  </si>
  <si>
    <t xml:space="preserve"> アルゴリズムとプログラミング </t>
  </si>
  <si>
    <t> コンピュータシステム</t>
  </si>
  <si>
    <t>コンピュータ構成要素</t>
  </si>
  <si>
    <t>プロセッサ</t>
  </si>
  <si>
    <t>メモリ</t>
  </si>
  <si>
    <t>バス</t>
  </si>
  <si>
    <t>入出力デバイス</t>
  </si>
  <si>
    <t>入出力装置</t>
  </si>
  <si>
    <t>システム構成要素</t>
  </si>
  <si>
    <t>システムの構成</t>
  </si>
  <si>
    <t>システムの評価指標</t>
  </si>
  <si>
    <t>ソフトウェア</t>
  </si>
  <si>
    <t>オペレーティングシステム</t>
  </si>
  <si>
    <t>ミドルウェア</t>
  </si>
  <si>
    <t>ファイルシステム</t>
  </si>
  <si>
    <t>開発ツール</t>
  </si>
  <si>
    <t>オープンソースソフトウェア</t>
  </si>
  <si>
    <t>ハードウェア</t>
  </si>
  <si>
    <t>ユーザーインタフェース</t>
  </si>
  <si>
    <t>ユーザーインタフェース技術</t>
  </si>
  <si>
    <t>UX/UI デザイン</t>
  </si>
  <si>
    <t>情報メディア</t>
  </si>
  <si>
    <t>マルチメディア技術</t>
  </si>
  <si>
    <t>マルチメディア応用</t>
  </si>
  <si>
    <t>データベース方式</t>
  </si>
  <si>
    <t>データベース設計</t>
  </si>
  <si>
    <t>データ操作</t>
  </si>
  <si>
    <t>トランザクション処理</t>
  </si>
  <si>
    <t>データベース応用</t>
  </si>
  <si>
    <t>データベース</t>
    <phoneticPr fontId="1"/>
  </si>
  <si>
    <t>SQL</t>
    <phoneticPr fontId="1"/>
  </si>
  <si>
    <t>ネットワーク</t>
  </si>
  <si>
    <t>ネットワーク方式</t>
  </si>
  <si>
    <t>データ通信と制御</t>
  </si>
  <si>
    <t>通信プロトコル</t>
  </si>
  <si>
    <t>ネットワーク管理</t>
  </si>
  <si>
    <t>ネットワーク応用</t>
  </si>
  <si>
    <t>情報セキュリティ</t>
  </si>
  <si>
    <t>情報セキュリティ管理</t>
  </si>
  <si>
    <t>セキュリティ技術評価</t>
  </si>
  <si>
    <t>情報セキュリティ対策</t>
  </si>
  <si>
    <t>セキュリティ実装技術</t>
  </si>
  <si>
    <t>物理セキュリティ</t>
    <rPh sb="0" eb="2">
      <t>ブツリ</t>
    </rPh>
    <phoneticPr fontId="1"/>
  </si>
  <si>
    <t>システム開発技術</t>
  </si>
  <si>
    <t>システム要件定義・ソフトウェア要件定義</t>
  </si>
  <si>
    <t>設計</t>
  </si>
  <si>
    <t>実装・構築</t>
  </si>
  <si>
    <t>統合・テスト</t>
  </si>
  <si>
    <t>導入・受入れ支援</t>
  </si>
  <si>
    <t>保守・廃棄</t>
  </si>
  <si>
    <t>ソフトウェア開発管理技術</t>
  </si>
  <si>
    <t>開発プロセス・手法</t>
  </si>
  <si>
    <t>知的財産適用管理</t>
  </si>
  <si>
    <t>開発環境管理</t>
  </si>
  <si>
    <t>構成管理・変更管理</t>
  </si>
  <si>
    <t>プロジェクトマネジメント</t>
  </si>
  <si>
    <t>プロジェクトの統合</t>
  </si>
  <si>
    <t>プロジェクトのステークホルダ</t>
  </si>
  <si>
    <t>プロジェクトのスコープ</t>
  </si>
  <si>
    <t>プロジェクトの資源</t>
  </si>
  <si>
    <t>プロジェクトの時間</t>
  </si>
  <si>
    <t>プロジェクトのコスト</t>
  </si>
  <si>
    <t>プロジェクトのリスク</t>
  </si>
  <si>
    <t>プロジェクトの品質</t>
  </si>
  <si>
    <t>サービスマネジメント</t>
  </si>
  <si>
    <t>サービスマネジメントシステムの計画及び運用</t>
  </si>
  <si>
    <t>パフォーマンス評価及び改善</t>
  </si>
  <si>
    <t>サービスの運用</t>
  </si>
  <si>
    <t>ファシリティマネジメント</t>
  </si>
  <si>
    <t>システム監査</t>
  </si>
  <si>
    <t>内部統制</t>
  </si>
  <si>
    <t>システム戦略</t>
  </si>
  <si>
    <t>情報システム戦略</t>
  </si>
  <si>
    <t>業務プロセス</t>
  </si>
  <si>
    <t>ソリューションビジネス</t>
  </si>
  <si>
    <t>システム活用促進・評価</t>
  </si>
  <si>
    <t>システム企画</t>
  </si>
  <si>
    <t>システム化計画</t>
  </si>
  <si>
    <t>要件定義</t>
  </si>
  <si>
    <t>調達計画・実施</t>
  </si>
  <si>
    <t>経営戦略手法</t>
  </si>
  <si>
    <t>マーケティング</t>
  </si>
  <si>
    <t>ビジネス戦略と目標・評価</t>
  </si>
  <si>
    <t>経営管理システム</t>
  </si>
  <si>
    <t>経営戦略マネジメント</t>
  </si>
  <si>
    <t>技術戦略マネジメント</t>
  </si>
  <si>
    <t>技術開発戦略の立案</t>
  </si>
  <si>
    <t>技術開発計画</t>
  </si>
  <si>
    <t>ビジネスインダストリ</t>
  </si>
  <si>
    <t>ビジネスシステム</t>
  </si>
  <si>
    <t>エンジニアリングシステム</t>
  </si>
  <si>
    <t>e-ビジネス</t>
  </si>
  <si>
    <t>民生機器</t>
  </si>
  <si>
    <t>産業機器</t>
  </si>
  <si>
    <t>企業と法務</t>
  </si>
  <si>
    <t>経営・組織論</t>
  </si>
  <si>
    <t>業務分析・データ利活用</t>
  </si>
  <si>
    <t>会計・財務</t>
  </si>
  <si>
    <t>PL</t>
  </si>
  <si>
    <t>PL</t>
    <phoneticPr fontId="1"/>
  </si>
  <si>
    <t>JV</t>
    <phoneticPr fontId="1"/>
  </si>
  <si>
    <t>JS</t>
    <phoneticPr fontId="1"/>
  </si>
  <si>
    <t>ID</t>
  </si>
  <si>
    <t>SQ</t>
  </si>
  <si>
    <t>OR</t>
  </si>
  <si>
    <t>DE</t>
  </si>
  <si>
    <t>SY</t>
  </si>
  <si>
    <t>SY</t>
    <phoneticPr fontId="1"/>
  </si>
  <si>
    <t>DT</t>
  </si>
  <si>
    <t>SL</t>
  </si>
  <si>
    <t>EL</t>
  </si>
  <si>
    <t>FW</t>
  </si>
  <si>
    <t>TE</t>
  </si>
  <si>
    <t>DB</t>
  </si>
  <si>
    <t>OO</t>
  </si>
  <si>
    <t>FP</t>
  </si>
  <si>
    <t>PP</t>
  </si>
  <si>
    <t>UT</t>
  </si>
  <si>
    <t>IT</t>
  </si>
  <si>
    <t>MK</t>
  </si>
  <si>
    <t>OP</t>
  </si>
  <si>
    <t>MM</t>
  </si>
  <si>
    <t>TM</t>
  </si>
  <si>
    <t>EX</t>
  </si>
  <si>
    <t>LG</t>
  </si>
  <si>
    <t>ID</t>
    <phoneticPr fontId="1"/>
  </si>
  <si>
    <t>BT</t>
  </si>
  <si>
    <t>CS</t>
  </si>
  <si>
    <t>UI</t>
  </si>
  <si>
    <t>NW</t>
  </si>
  <si>
    <t>IS</t>
  </si>
  <si>
    <t>SD</t>
  </si>
  <si>
    <t>PM</t>
  </si>
  <si>
    <t>SM</t>
  </si>
  <si>
    <t>AU</t>
  </si>
  <si>
    <t>ST</t>
  </si>
  <si>
    <t>SP</t>
  </si>
  <si>
    <t>SM</t>
    <phoneticPr fontId="1"/>
  </si>
  <si>
    <t>コンピュータ構成要素</t>
    <phoneticPr fontId="1"/>
  </si>
  <si>
    <t>プロセッサ</t>
    <phoneticPr fontId="1"/>
  </si>
  <si>
    <t>メモリ</t>
    <phoneticPr fontId="1"/>
  </si>
  <si>
    <t>バス</t>
    <phoneticPr fontId="1"/>
  </si>
  <si>
    <t>入出力デバイス</t>
    <phoneticPr fontId="1"/>
  </si>
  <si>
    <t>入出力装置</t>
    <phoneticPr fontId="1"/>
  </si>
  <si>
    <t>システム構成要素</t>
    <phoneticPr fontId="1"/>
  </si>
  <si>
    <t>システムの構成</t>
    <phoneticPr fontId="1"/>
  </si>
  <si>
    <t>システムの評価指標</t>
    <phoneticPr fontId="1"/>
  </si>
  <si>
    <t>ソフトウェア</t>
    <phoneticPr fontId="1"/>
  </si>
  <si>
    <t>オペレーティングシステム</t>
    <phoneticPr fontId="1"/>
  </si>
  <si>
    <t>ミドルウェア</t>
    <phoneticPr fontId="1"/>
  </si>
  <si>
    <t>ファイルシステム</t>
    <phoneticPr fontId="1"/>
  </si>
  <si>
    <t>開発ツール</t>
    <phoneticPr fontId="1"/>
  </si>
  <si>
    <t>オープンソースソフトウェア</t>
    <phoneticPr fontId="1"/>
  </si>
  <si>
    <t>ハードウェア</t>
    <phoneticPr fontId="1"/>
  </si>
  <si>
    <t>ユーザーインタフェース</t>
    <phoneticPr fontId="1"/>
  </si>
  <si>
    <t>ユーザーインタフェース技術</t>
    <phoneticPr fontId="1"/>
  </si>
  <si>
    <t>UX/UI デザイン</t>
    <phoneticPr fontId="1"/>
  </si>
  <si>
    <t>情報メディア</t>
    <phoneticPr fontId="1"/>
  </si>
  <si>
    <t>マルチメディア技術</t>
    <phoneticPr fontId="1"/>
  </si>
  <si>
    <t>マルチメディア応用</t>
    <phoneticPr fontId="1"/>
  </si>
  <si>
    <t>データベース方式</t>
    <phoneticPr fontId="1"/>
  </si>
  <si>
    <t>データベース設計</t>
    <phoneticPr fontId="1"/>
  </si>
  <si>
    <t>データ操作</t>
    <phoneticPr fontId="1"/>
  </si>
  <si>
    <t>トランザクション処理</t>
    <phoneticPr fontId="1"/>
  </si>
  <si>
    <t>データベース応用</t>
    <phoneticPr fontId="1"/>
  </si>
  <si>
    <t>ネットワーク</t>
    <phoneticPr fontId="1"/>
  </si>
  <si>
    <t>ネットワーク方式</t>
    <phoneticPr fontId="1"/>
  </si>
  <si>
    <t>データ通信と制御</t>
    <phoneticPr fontId="1"/>
  </si>
  <si>
    <t>通信プロトコル</t>
    <phoneticPr fontId="1"/>
  </si>
  <si>
    <t>ネットワーク管理</t>
    <phoneticPr fontId="1"/>
  </si>
  <si>
    <t>ネットワーク応用</t>
    <phoneticPr fontId="1"/>
  </si>
  <si>
    <t>情報セキュリティ</t>
    <phoneticPr fontId="1"/>
  </si>
  <si>
    <t>情報セキュリティ管理</t>
    <phoneticPr fontId="1"/>
  </si>
  <si>
    <t>セキュリティ技術評価</t>
    <phoneticPr fontId="1"/>
  </si>
  <si>
    <t>情報セキュリティ対策</t>
    <phoneticPr fontId="1"/>
  </si>
  <si>
    <t>セキュリティ実装技術</t>
    <phoneticPr fontId="1"/>
  </si>
  <si>
    <t>システム開発技術</t>
    <phoneticPr fontId="1"/>
  </si>
  <si>
    <t>システム要件定義・ソフトウェア要件定義</t>
    <phoneticPr fontId="1"/>
  </si>
  <si>
    <t>設計</t>
    <phoneticPr fontId="1"/>
  </si>
  <si>
    <t>実装・構築</t>
    <phoneticPr fontId="1"/>
  </si>
  <si>
    <t>統合・テスト</t>
    <phoneticPr fontId="1"/>
  </si>
  <si>
    <t>導入・受入れ支援</t>
    <phoneticPr fontId="1"/>
  </si>
  <si>
    <t>保守・廃棄</t>
    <phoneticPr fontId="1"/>
  </si>
  <si>
    <t>ソフトウェア開発管理技術</t>
    <phoneticPr fontId="1"/>
  </si>
  <si>
    <t>開発プロセス・手法</t>
    <phoneticPr fontId="1"/>
  </si>
  <si>
    <t>知的財産適用管理</t>
    <phoneticPr fontId="1"/>
  </si>
  <si>
    <t>開発環境管理</t>
    <phoneticPr fontId="1"/>
  </si>
  <si>
    <t>構成管理・変更管理</t>
    <phoneticPr fontId="1"/>
  </si>
  <si>
    <t>プロジェクトマネジメント</t>
    <phoneticPr fontId="1"/>
  </si>
  <si>
    <t>プロジェクトの統合</t>
    <phoneticPr fontId="1"/>
  </si>
  <si>
    <t>プロジェクトのステークホルダ</t>
    <phoneticPr fontId="1"/>
  </si>
  <si>
    <t>プロジェクトのスコープ</t>
    <phoneticPr fontId="1"/>
  </si>
  <si>
    <t>プロジェクトの資源</t>
    <phoneticPr fontId="1"/>
  </si>
  <si>
    <t>プロジェクトの時間</t>
    <phoneticPr fontId="1"/>
  </si>
  <si>
    <t>プロジェクトのコスト</t>
    <phoneticPr fontId="1"/>
  </si>
  <si>
    <t>プロジェクトのリスク</t>
    <phoneticPr fontId="1"/>
  </si>
  <si>
    <t>プロジェクトの品質</t>
    <phoneticPr fontId="1"/>
  </si>
  <si>
    <t>サービスマネジメント</t>
    <phoneticPr fontId="1"/>
  </si>
  <si>
    <t>サービスマネジメントシステムの計画及び運用</t>
    <phoneticPr fontId="1"/>
  </si>
  <si>
    <t>パフォーマンス評価及び改善</t>
    <phoneticPr fontId="1"/>
  </si>
  <si>
    <t>サービスの運用</t>
    <phoneticPr fontId="1"/>
  </si>
  <si>
    <t>ファシリティマネジメント</t>
    <phoneticPr fontId="1"/>
  </si>
  <si>
    <t>システム監査</t>
    <phoneticPr fontId="1"/>
  </si>
  <si>
    <t>内部統制</t>
    <phoneticPr fontId="1"/>
  </si>
  <si>
    <t>システム戦略</t>
    <phoneticPr fontId="1"/>
  </si>
  <si>
    <t>情報システム戦略</t>
    <phoneticPr fontId="1"/>
  </si>
  <si>
    <t>業務プロセス</t>
    <phoneticPr fontId="1"/>
  </si>
  <si>
    <t>ソリューションビジネス</t>
    <phoneticPr fontId="1"/>
  </si>
  <si>
    <t>システム活用促進・評価</t>
    <phoneticPr fontId="1"/>
  </si>
  <si>
    <t>システム企画</t>
    <phoneticPr fontId="1"/>
  </si>
  <si>
    <t>システム化計画</t>
    <phoneticPr fontId="1"/>
  </si>
  <si>
    <t>要件定義</t>
    <phoneticPr fontId="1"/>
  </si>
  <si>
    <t>調達計画・実施</t>
    <phoneticPr fontId="1"/>
  </si>
  <si>
    <t>プログラミング言語</t>
  </si>
  <si>
    <t>基礎理論</t>
  </si>
  <si>
    <t>コンピュータシステム</t>
  </si>
  <si>
    <t>データベース</t>
  </si>
  <si>
    <t>BI</t>
  </si>
  <si>
    <t>CL</t>
  </si>
  <si>
    <t>基礎理論</t>
    <phoneticPr fontId="1"/>
  </si>
  <si>
    <t>SW</t>
  </si>
  <si>
    <t>SW</t>
    <phoneticPr fontId="1"/>
  </si>
  <si>
    <t>DM</t>
  </si>
  <si>
    <t>AM</t>
  </si>
  <si>
    <t>CT</t>
  </si>
  <si>
    <t>MC</t>
  </si>
  <si>
    <t>AP</t>
  </si>
  <si>
    <t>DS</t>
  </si>
  <si>
    <t>AL</t>
  </si>
  <si>
    <t>PG</t>
  </si>
  <si>
    <t>OL</t>
  </si>
  <si>
    <t>CH</t>
  </si>
  <si>
    <t>PR</t>
  </si>
  <si>
    <t>ME</t>
  </si>
  <si>
    <t>BU</t>
  </si>
  <si>
    <t>IO</t>
  </si>
  <si>
    <t>SC</t>
  </si>
  <si>
    <t>EM</t>
  </si>
  <si>
    <t>OS</t>
  </si>
  <si>
    <t>MW</t>
  </si>
  <si>
    <t>FS</t>
  </si>
  <si>
    <t>HW</t>
  </si>
  <si>
    <t>UX</t>
  </si>
  <si>
    <t>IM</t>
  </si>
  <si>
    <t>MA</t>
  </si>
  <si>
    <t>DO</t>
  </si>
  <si>
    <t>TP</t>
  </si>
  <si>
    <t>DA</t>
  </si>
  <si>
    <t>DC</t>
  </si>
  <si>
    <t>CP</t>
  </si>
  <si>
    <t>NM</t>
  </si>
  <si>
    <t>NA</t>
  </si>
  <si>
    <t>SE</t>
  </si>
  <si>
    <t>SI</t>
  </si>
  <si>
    <t>PS</t>
  </si>
  <si>
    <t>RD</t>
  </si>
  <si>
    <t>AI</t>
  </si>
  <si>
    <t>DP</t>
  </si>
  <si>
    <t>IP</t>
  </si>
  <si>
    <t>CM</t>
  </si>
  <si>
    <t>PI</t>
  </si>
  <si>
    <t>SH</t>
  </si>
  <si>
    <t>RS</t>
  </si>
  <si>
    <t>CO</t>
  </si>
  <si>
    <t>RK</t>
  </si>
  <si>
    <t>QL</t>
  </si>
  <si>
    <t>PE</t>
  </si>
  <si>
    <t>SO</t>
  </si>
  <si>
    <t>FM</t>
  </si>
  <si>
    <t>IC</t>
  </si>
  <si>
    <t>BP</t>
  </si>
  <si>
    <t>SB</t>
  </si>
  <si>
    <t>AE</t>
  </si>
  <si>
    <t>BE</t>
  </si>
  <si>
    <t>MS</t>
  </si>
  <si>
    <t>TS</t>
  </si>
  <si>
    <t>BS</t>
  </si>
  <si>
    <t>ES</t>
  </si>
  <si>
    <t>EB</t>
  </si>
  <si>
    <t>CE</t>
  </si>
  <si>
    <t>IE</t>
  </si>
  <si>
    <t>OM</t>
  </si>
  <si>
    <t>AF</t>
  </si>
  <si>
    <t>SQL</t>
  </si>
  <si>
    <t>離散数学</t>
  </si>
  <si>
    <t>応用数学</t>
  </si>
  <si>
    <t>情報に関する理論</t>
  </si>
  <si>
    <t>通信に関する理論</t>
  </si>
  <si>
    <t>計測・制御に関する理論</t>
  </si>
  <si>
    <t>アルゴリズムとプログラミング</t>
  </si>
  <si>
    <t>データ構造</t>
  </si>
  <si>
    <t>アルゴリズム</t>
  </si>
  <si>
    <t>プログラミング</t>
  </si>
  <si>
    <t>プログラム言語</t>
  </si>
  <si>
    <t>その他の言語</t>
  </si>
  <si>
    <t>物理セキュリティ</t>
  </si>
  <si>
    <t>e-ビジネス</t>
    <phoneticPr fontId="1"/>
  </si>
  <si>
    <t>KS</t>
    <phoneticPr fontId="1"/>
  </si>
  <si>
    <t>TM</t>
    <phoneticPr fontId="1"/>
  </si>
  <si>
    <t>OP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</si>
</sst>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.5"/>
      <color theme="1"/>
      <name val="游明朝"/>
      <family val="1"/>
      <charset val="128"/>
    </font>
    <font>
      <b/>
      <sz val="12"/>
      <name val="BIZ UDPゴシック"/>
      <family val="3"/>
      <charset val="128"/>
    </font>
    <font>
      <sz val="12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0"/>
      <color rgb="FF1A1918"/>
      <name val="Segoe UI"/>
      <family val="2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 inden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0" fillId="0" borderId="1" xfId="0" applyBorder="1" applyAlignment="1">
      <alignment horizontal="centerContinuous"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7" fillId="0" borderId="3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4" xfId="0" applyFont="1" applyBorder="1" applyAlignment="1">
      <alignment horizontal="centerContinuous" vertical="center"/>
    </xf>
    <xf numFmtId="0" fontId="0" fillId="0" borderId="5" xfId="0" applyBorder="1" applyAlignment="1">
      <alignment horizontal="centerContinuous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</cellXfs>
  <cellStyles count="1">
    <cellStyle name="標準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1470660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グループ化1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0</xdr:row>
          <xdr:rowOff>579120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3D654-966B-48D5-BF3C-D691EAC9C0A7}">
  <sheetPr codeName="Sheet1"/>
  <dimension ref="A1:I20"/>
  <sheetViews>
    <sheetView workbookViewId="0">
      <selection activeCell="G21" sqref="G21"/>
    </sheetView>
    <sheetView workbookViewId="1"/>
  </sheetViews>
  <sheetFormatPr defaultRowHeight="18" x14ac:dyDescent="0.45"/>
  <cols>
    <col min="2" max="2" width="35.8984375" customWidth="1"/>
    <col min="3" max="3" width="81.59765625" bestFit="1" customWidth="1"/>
    <col min="7" max="7" width="9.1992187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45">
      <c r="B2" s="1" t="s">
        <v>29</v>
      </c>
      <c r="C2" t="s">
        <v>10</v>
      </c>
      <c r="D2" t="s">
        <v>49</v>
      </c>
      <c r="G2" s="2">
        <v>45779</v>
      </c>
    </row>
    <row r="3" spans="1:9" x14ac:dyDescent="0.45">
      <c r="B3" s="1" t="s">
        <v>30</v>
      </c>
      <c r="C3" t="s">
        <v>11</v>
      </c>
      <c r="D3" t="s">
        <v>49</v>
      </c>
      <c r="G3" s="2">
        <v>45779</v>
      </c>
    </row>
    <row r="4" spans="1:9" x14ac:dyDescent="0.45">
      <c r="B4" s="1" t="s">
        <v>31</v>
      </c>
      <c r="C4" t="s">
        <v>12</v>
      </c>
      <c r="D4" t="s">
        <v>49</v>
      </c>
      <c r="G4" s="2">
        <v>45779</v>
      </c>
    </row>
    <row r="5" spans="1:9" x14ac:dyDescent="0.45">
      <c r="B5" s="1" t="s">
        <v>32</v>
      </c>
      <c r="C5" t="s">
        <v>13</v>
      </c>
      <c r="D5" t="s">
        <v>49</v>
      </c>
      <c r="G5" s="2">
        <v>45779</v>
      </c>
    </row>
    <row r="6" spans="1:9" x14ac:dyDescent="0.45">
      <c r="B6" s="1" t="s">
        <v>33</v>
      </c>
      <c r="C6" t="s">
        <v>14</v>
      </c>
      <c r="D6" t="s">
        <v>49</v>
      </c>
      <c r="G6" s="2">
        <v>45779</v>
      </c>
    </row>
    <row r="7" spans="1:9" x14ac:dyDescent="0.45">
      <c r="B7" s="1" t="s">
        <v>34</v>
      </c>
      <c r="C7" t="s">
        <v>15</v>
      </c>
      <c r="D7" t="s">
        <v>49</v>
      </c>
      <c r="G7" s="2">
        <v>45779</v>
      </c>
    </row>
    <row r="8" spans="1:9" x14ac:dyDescent="0.45">
      <c r="B8" s="1" t="s">
        <v>35</v>
      </c>
      <c r="C8" t="s">
        <v>16</v>
      </c>
      <c r="D8" t="s">
        <v>49</v>
      </c>
      <c r="G8" s="2">
        <v>45779</v>
      </c>
    </row>
    <row r="9" spans="1:9" x14ac:dyDescent="0.45">
      <c r="B9" s="1" t="s">
        <v>36</v>
      </c>
      <c r="C9" t="s">
        <v>17</v>
      </c>
      <c r="D9" t="s">
        <v>49</v>
      </c>
      <c r="G9" s="2">
        <v>45779</v>
      </c>
    </row>
    <row r="10" spans="1:9" x14ac:dyDescent="0.45">
      <c r="B10" s="1" t="s">
        <v>37</v>
      </c>
      <c r="C10" t="s">
        <v>18</v>
      </c>
      <c r="D10" t="s">
        <v>49</v>
      </c>
      <c r="G10" s="2">
        <v>45779</v>
      </c>
    </row>
    <row r="11" spans="1:9" x14ac:dyDescent="0.45">
      <c r="B11" s="1" t="s">
        <v>38</v>
      </c>
      <c r="C11" t="s">
        <v>19</v>
      </c>
      <c r="D11" t="s">
        <v>48</v>
      </c>
      <c r="G11" s="2">
        <v>45779</v>
      </c>
    </row>
    <row r="12" spans="1:9" x14ac:dyDescent="0.45">
      <c r="B12" s="1" t="s">
        <v>39</v>
      </c>
      <c r="C12" t="s">
        <v>20</v>
      </c>
      <c r="D12" t="s">
        <v>48</v>
      </c>
      <c r="G12" s="2">
        <v>45779</v>
      </c>
    </row>
    <row r="13" spans="1:9" x14ac:dyDescent="0.45">
      <c r="B13" s="1" t="s">
        <v>40</v>
      </c>
      <c r="C13" t="s">
        <v>21</v>
      </c>
      <c r="D13" t="s">
        <v>48</v>
      </c>
      <c r="G13" s="2">
        <v>45779</v>
      </c>
    </row>
    <row r="14" spans="1:9" x14ac:dyDescent="0.45">
      <c r="B14" s="1" t="s">
        <v>41</v>
      </c>
      <c r="C14" t="s">
        <v>22</v>
      </c>
      <c r="D14" t="s">
        <v>48</v>
      </c>
      <c r="G14" s="2">
        <v>45779</v>
      </c>
    </row>
    <row r="15" spans="1:9" x14ac:dyDescent="0.45">
      <c r="B15" s="1" t="s">
        <v>42</v>
      </c>
      <c r="C15" t="s">
        <v>23</v>
      </c>
      <c r="D15" t="s">
        <v>48</v>
      </c>
      <c r="G15" s="2">
        <v>45779</v>
      </c>
    </row>
    <row r="16" spans="1:9" x14ac:dyDescent="0.45">
      <c r="B16" s="1" t="s">
        <v>43</v>
      </c>
      <c r="C16" t="s">
        <v>24</v>
      </c>
      <c r="D16" t="s">
        <v>48</v>
      </c>
      <c r="G16" s="2">
        <v>45779</v>
      </c>
    </row>
    <row r="17" spans="2:7" x14ac:dyDescent="0.45">
      <c r="B17" s="1" t="s">
        <v>44</v>
      </c>
      <c r="C17" t="s">
        <v>25</v>
      </c>
      <c r="D17" t="s">
        <v>48</v>
      </c>
      <c r="G17" s="2">
        <v>45779</v>
      </c>
    </row>
    <row r="18" spans="2:7" x14ac:dyDescent="0.45">
      <c r="B18" s="1" t="s">
        <v>45</v>
      </c>
      <c r="C18" t="s">
        <v>26</v>
      </c>
      <c r="D18" t="s">
        <v>48</v>
      </c>
      <c r="G18" s="2">
        <v>45779</v>
      </c>
    </row>
    <row r="19" spans="2:7" x14ac:dyDescent="0.45">
      <c r="B19" s="1" t="s">
        <v>46</v>
      </c>
      <c r="C19" t="s">
        <v>27</v>
      </c>
      <c r="D19" t="s">
        <v>48</v>
      </c>
      <c r="G19" s="2">
        <v>45779</v>
      </c>
    </row>
    <row r="20" spans="2:7" x14ac:dyDescent="0.45">
      <c r="B20" s="1" t="s">
        <v>47</v>
      </c>
      <c r="C20" t="s">
        <v>28</v>
      </c>
      <c r="D20" t="s">
        <v>48</v>
      </c>
      <c r="G20" s="2">
        <v>45779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3F61-FD0B-4EAB-ABCE-B761CCAD0CAF}">
  <sheetPr codeName="Sheet3"/>
  <dimension ref="A1:BN25"/>
  <sheetViews>
    <sheetView zoomScale="70" zoomScaleNormal="70" workbookViewId="0">
      <pane ySplit="1" topLeftCell="A2" activePane="bottomLeft" state="frozen"/>
      <selection pane="bottomLeft" activeCell="A5" sqref="A5:XFD36"/>
    </sheetView>
    <sheetView workbookViewId="1">
      <selection activeCell="AW22" sqref="AW22"/>
    </sheetView>
  </sheetViews>
  <sheetFormatPr defaultRowHeight="13.8" outlineLevelCol="1" x14ac:dyDescent="0.45"/>
  <cols>
    <col min="1" max="1" width="19.8984375" style="3" bestFit="1" customWidth="1"/>
    <col min="2" max="2" width="13.69921875" style="3" customWidth="1" outlineLevel="1"/>
    <col min="3" max="3" width="44.8984375" style="3" customWidth="1" outlineLevel="1"/>
    <col min="4" max="4" width="11.296875" style="4" bestFit="1" customWidth="1"/>
    <col min="5" max="5" width="31" style="4" customWidth="1" outlineLevel="1"/>
    <col min="6" max="6" width="11.296875" style="4" customWidth="1" outlineLevel="1"/>
    <col min="7" max="7" width="21.5" style="4" bestFit="1" customWidth="1"/>
    <col min="8" max="8" width="26.69921875" style="4" customWidth="1" outlineLevel="1"/>
    <col min="9" max="9" width="11.296875" style="4" customWidth="1" outlineLevel="1"/>
    <col min="10" max="10" width="23.296875" style="4" bestFit="1" customWidth="1"/>
    <col min="11" max="11" width="27.19921875" style="4" customWidth="1" outlineLevel="1"/>
    <col min="12" max="12" width="11.296875" style="4" customWidth="1" outlineLevel="1"/>
    <col min="13" max="13" width="13.3984375" style="4" bestFit="1" customWidth="1"/>
    <col min="14" max="14" width="20.796875" style="4" customWidth="1" outlineLevel="1"/>
    <col min="15" max="15" width="11.296875" style="4" customWidth="1" outlineLevel="1"/>
    <col min="16" max="16" width="12.59765625" style="4" bestFit="1" customWidth="1"/>
    <col min="17" max="17" width="18" style="4" customWidth="1" outlineLevel="1"/>
    <col min="18" max="18" width="11.296875" style="4" customWidth="1" outlineLevel="1"/>
    <col min="19" max="19" width="17" style="4" bestFit="1" customWidth="1"/>
    <col min="20" max="20" width="21.3984375" style="4" customWidth="1" outlineLevel="1"/>
    <col min="21" max="21" width="11.296875" style="4" customWidth="1" outlineLevel="1"/>
    <col min="22" max="22" width="17.69921875" style="4" bestFit="1" customWidth="1"/>
    <col min="23" max="23" width="39" style="4" customWidth="1" outlineLevel="1"/>
    <col min="24" max="24" width="11.296875" style="4" customWidth="1" outlineLevel="1"/>
    <col min="25" max="25" width="25.5" style="4" bestFit="1" customWidth="1"/>
    <col min="26" max="26" width="19.69921875" style="4" customWidth="1" outlineLevel="1"/>
    <col min="27" max="27" width="11.296875" style="4" customWidth="1" outlineLevel="1"/>
    <col min="28" max="28" width="24.59765625" style="4" bestFit="1" customWidth="1"/>
    <col min="29" max="29" width="29.3984375" style="4" customWidth="1" outlineLevel="1"/>
    <col min="30" max="30" width="11.296875" style="4" customWidth="1" outlineLevel="1"/>
    <col min="31" max="31" width="21.19921875" style="4" bestFit="1" customWidth="1"/>
    <col min="32" max="32" width="44.5" style="4" customWidth="1" outlineLevel="1"/>
    <col min="33" max="33" width="11.296875" style="4" customWidth="1" outlineLevel="1"/>
    <col min="34" max="34" width="13.3984375" style="4" bestFit="1" customWidth="1"/>
    <col min="35" max="36" width="11.296875" style="4" customWidth="1" outlineLevel="1"/>
    <col min="37" max="37" width="13.3984375" style="4" bestFit="1" customWidth="1"/>
    <col min="38" max="38" width="23.296875" style="4" customWidth="1" outlineLevel="1"/>
    <col min="39" max="39" width="11.296875" style="4" customWidth="1" outlineLevel="1"/>
    <col min="40" max="40" width="13.3984375" style="4" bestFit="1" customWidth="1"/>
    <col min="41" max="41" width="15.5" style="4" customWidth="1" outlineLevel="1"/>
    <col min="42" max="42" width="11.296875" style="4" customWidth="1" outlineLevel="1"/>
    <col min="43" max="43" width="21.59765625" style="4" bestFit="1" customWidth="1"/>
    <col min="44" max="44" width="25.59765625" style="4" customWidth="1" outlineLevel="1"/>
    <col min="45" max="45" width="11.296875" style="4" customWidth="1" outlineLevel="1"/>
    <col min="46" max="46" width="21.59765625" style="4" bestFit="1" customWidth="1"/>
    <col min="47" max="47" width="20.69921875" style="4" customWidth="1" outlineLevel="1"/>
    <col min="48" max="48" width="11.296875" style="4" customWidth="1" outlineLevel="1"/>
    <col min="49" max="49" width="20.5" style="4" bestFit="1" customWidth="1"/>
    <col min="50" max="50" width="24.69921875" style="4" customWidth="1" outlineLevel="1"/>
    <col min="51" max="51" width="11.296875" style="4" customWidth="1" outlineLevel="1"/>
    <col min="52" max="52" width="11.8984375" style="4" bestFit="1" customWidth="1"/>
    <col min="53" max="53" width="23.69921875" style="4" customWidth="1" outlineLevel="1"/>
    <col min="54" max="54" width="11.296875" style="4" customWidth="1" outlineLevel="1"/>
    <col min="55" max="55" width="11.296875" style="4" bestFit="1" customWidth="1"/>
    <col min="56" max="57" width="11.296875" style="4" customWidth="1" outlineLevel="1"/>
    <col min="58" max="58" width="11.296875" style="4" bestFit="1" customWidth="1"/>
    <col min="59" max="60" width="11.296875" style="4" customWidth="1" outlineLevel="1"/>
    <col min="61" max="61" width="11.296875" style="4" bestFit="1" customWidth="1"/>
    <col min="62" max="63" width="11.296875" style="4" customWidth="1" outlineLevel="1"/>
    <col min="64" max="64" width="11.296875" style="4" bestFit="1" customWidth="1"/>
    <col min="65" max="66" width="11.296875" style="4" customWidth="1" outlineLevel="1"/>
    <col min="67" max="16384" width="8.796875" style="4"/>
  </cols>
  <sheetData>
    <row r="1" spans="1:66" ht="48.6" customHeight="1" x14ac:dyDescent="0.45"/>
    <row r="4" spans="1:66" s="5" customFormat="1" x14ac:dyDescent="0.45">
      <c r="A4" s="5" t="s">
        <v>54</v>
      </c>
      <c r="B4" s="5" t="s">
        <v>55</v>
      </c>
      <c r="C4" s="5" t="s">
        <v>56</v>
      </c>
      <c r="D4" s="5" t="s">
        <v>54</v>
      </c>
      <c r="E4" s="5" t="s">
        <v>55</v>
      </c>
      <c r="F4" s="5" t="s">
        <v>56</v>
      </c>
      <c r="G4" s="5" t="s">
        <v>54</v>
      </c>
      <c r="H4" s="5" t="s">
        <v>55</v>
      </c>
      <c r="I4" s="5" t="s">
        <v>56</v>
      </c>
      <c r="J4" s="5" t="s">
        <v>54</v>
      </c>
      <c r="K4" s="5" t="s">
        <v>55</v>
      </c>
      <c r="L4" s="5" t="s">
        <v>56</v>
      </c>
      <c r="M4" s="5" t="s">
        <v>54</v>
      </c>
      <c r="N4" s="5" t="s">
        <v>55</v>
      </c>
      <c r="O4" s="5" t="s">
        <v>56</v>
      </c>
      <c r="P4" s="5" t="s">
        <v>54</v>
      </c>
      <c r="Q4" s="5" t="s">
        <v>55</v>
      </c>
      <c r="R4" s="5" t="s">
        <v>56</v>
      </c>
      <c r="S4" s="5" t="s">
        <v>54</v>
      </c>
      <c r="T4" s="5" t="s">
        <v>55</v>
      </c>
      <c r="U4" s="5" t="s">
        <v>56</v>
      </c>
      <c r="V4" s="5" t="s">
        <v>54</v>
      </c>
      <c r="W4" s="5" t="s">
        <v>55</v>
      </c>
      <c r="X4" s="5" t="s">
        <v>56</v>
      </c>
      <c r="Y4" s="5" t="s">
        <v>54</v>
      </c>
      <c r="Z4" s="5" t="s">
        <v>55</v>
      </c>
      <c r="AA4" s="5" t="s">
        <v>56</v>
      </c>
      <c r="AB4" s="5" t="s">
        <v>54</v>
      </c>
      <c r="AC4" s="5" t="s">
        <v>55</v>
      </c>
      <c r="AD4" s="5" t="s">
        <v>56</v>
      </c>
      <c r="AE4" s="5" t="s">
        <v>54</v>
      </c>
      <c r="AF4" s="5" t="s">
        <v>55</v>
      </c>
      <c r="AG4" s="5" t="s">
        <v>56</v>
      </c>
      <c r="AH4" s="5" t="s">
        <v>54</v>
      </c>
      <c r="AI4" s="5" t="s">
        <v>55</v>
      </c>
      <c r="AJ4" s="5" t="s">
        <v>56</v>
      </c>
      <c r="AK4" s="5" t="s">
        <v>54</v>
      </c>
      <c r="AL4" s="5" t="s">
        <v>55</v>
      </c>
      <c r="AM4" s="5" t="s">
        <v>56</v>
      </c>
      <c r="AN4" s="5" t="s">
        <v>54</v>
      </c>
      <c r="AO4" s="5" t="s">
        <v>55</v>
      </c>
      <c r="AP4" s="5" t="s">
        <v>56</v>
      </c>
      <c r="AQ4" s="5" t="s">
        <v>54</v>
      </c>
      <c r="AR4" s="5" t="s">
        <v>55</v>
      </c>
      <c r="AS4" s="5" t="s">
        <v>56</v>
      </c>
      <c r="AT4" s="5" t="s">
        <v>54</v>
      </c>
      <c r="AU4" s="5" t="s">
        <v>55</v>
      </c>
      <c r="AV4" s="5" t="s">
        <v>56</v>
      </c>
      <c r="AW4" s="5" t="s">
        <v>54</v>
      </c>
      <c r="AX4" s="5" t="s">
        <v>55</v>
      </c>
      <c r="AY4" s="5" t="s">
        <v>56</v>
      </c>
      <c r="AZ4" s="5" t="s">
        <v>54</v>
      </c>
      <c r="BA4" s="5" t="s">
        <v>55</v>
      </c>
      <c r="BB4" s="5" t="s">
        <v>56</v>
      </c>
      <c r="BC4" s="5" t="s">
        <v>54</v>
      </c>
      <c r="BD4" s="5" t="s">
        <v>55</v>
      </c>
      <c r="BE4" s="5" t="s">
        <v>56</v>
      </c>
      <c r="BF4" s="5" t="s">
        <v>54</v>
      </c>
      <c r="BG4" s="5" t="s">
        <v>55</v>
      </c>
      <c r="BH4" s="5" t="s">
        <v>56</v>
      </c>
      <c r="BI4" s="5" t="s">
        <v>54</v>
      </c>
      <c r="BJ4" s="5" t="s">
        <v>55</v>
      </c>
      <c r="BK4" s="5" t="s">
        <v>56</v>
      </c>
      <c r="BL4" s="5" t="s">
        <v>54</v>
      </c>
      <c r="BM4" s="5" t="s">
        <v>55</v>
      </c>
      <c r="BN4" s="5" t="s">
        <v>56</v>
      </c>
    </row>
    <row r="5" spans="1:66" s="3" customFormat="1" x14ac:dyDescent="0.45">
      <c r="A5" s="3" t="s">
        <v>50</v>
      </c>
      <c r="B5" s="3" t="s">
        <v>51</v>
      </c>
      <c r="C5" s="3" t="s">
        <v>53</v>
      </c>
      <c r="D5" s="3" t="s">
        <v>87</v>
      </c>
      <c r="E5" s="3" t="s">
        <v>77</v>
      </c>
      <c r="G5" s="3" t="s">
        <v>89</v>
      </c>
      <c r="H5" s="3" t="s">
        <v>90</v>
      </c>
      <c r="J5" s="3" t="s">
        <v>106</v>
      </c>
      <c r="K5" s="3" t="s">
        <v>107</v>
      </c>
      <c r="M5" s="3" t="s">
        <v>117</v>
      </c>
      <c r="N5" s="3" t="s">
        <v>112</v>
      </c>
      <c r="P5" s="3" t="s">
        <v>119</v>
      </c>
      <c r="Q5" s="3" t="s">
        <v>120</v>
      </c>
      <c r="S5" s="3" t="s">
        <v>125</v>
      </c>
      <c r="T5" s="3" t="s">
        <v>126</v>
      </c>
      <c r="V5" s="3" t="s">
        <v>131</v>
      </c>
      <c r="W5" s="3" t="s">
        <v>132</v>
      </c>
      <c r="Y5" s="3" t="s">
        <v>138</v>
      </c>
      <c r="Z5" s="3" t="s">
        <v>139</v>
      </c>
      <c r="AB5" s="3" t="s">
        <v>143</v>
      </c>
      <c r="AC5" s="3" t="s">
        <v>143</v>
      </c>
      <c r="AE5" s="3" t="s">
        <v>152</v>
      </c>
      <c r="AF5" s="3" t="s">
        <v>152</v>
      </c>
      <c r="AH5" s="3" t="s">
        <v>157</v>
      </c>
      <c r="AI5" s="3" t="s">
        <v>158</v>
      </c>
      <c r="AK5" s="3" t="s">
        <v>159</v>
      </c>
      <c r="AL5" s="3" t="s">
        <v>160</v>
      </c>
      <c r="AN5" s="3" t="s">
        <v>164</v>
      </c>
      <c r="AO5" s="3" t="s">
        <v>165</v>
      </c>
      <c r="AQ5" s="3" t="s">
        <v>172</v>
      </c>
      <c r="AR5" s="3" t="s">
        <v>168</v>
      </c>
      <c r="AT5" s="3" t="s">
        <v>173</v>
      </c>
      <c r="AU5" s="3" t="s">
        <v>174</v>
      </c>
      <c r="AW5" s="3" t="s">
        <v>176</v>
      </c>
      <c r="AX5" s="3" t="s">
        <v>177</v>
      </c>
      <c r="AZ5" s="3" t="s">
        <v>182</v>
      </c>
      <c r="BA5" s="3" t="s">
        <v>183</v>
      </c>
    </row>
    <row r="6" spans="1:66" s="3" customFormat="1" x14ac:dyDescent="0.45">
      <c r="B6" s="3" t="s">
        <v>52</v>
      </c>
      <c r="C6" s="3" t="s">
        <v>57</v>
      </c>
      <c r="E6" s="3" t="s">
        <v>78</v>
      </c>
      <c r="H6" s="3" t="s">
        <v>91</v>
      </c>
      <c r="K6" s="3" t="s">
        <v>108</v>
      </c>
      <c r="N6" s="3" t="s">
        <v>113</v>
      </c>
      <c r="Q6" s="3" t="s">
        <v>121</v>
      </c>
      <c r="T6" s="3" t="s">
        <v>127</v>
      </c>
      <c r="W6" s="3" t="s">
        <v>133</v>
      </c>
      <c r="Z6" s="3" t="s">
        <v>140</v>
      </c>
      <c r="AC6" s="3" t="s">
        <v>144</v>
      </c>
      <c r="AF6" s="3" t="s">
        <v>153</v>
      </c>
      <c r="AL6" s="3" t="s">
        <v>161</v>
      </c>
      <c r="AO6" s="3" t="s">
        <v>166</v>
      </c>
      <c r="AR6" s="3" t="s">
        <v>169</v>
      </c>
      <c r="AU6" s="3" t="s">
        <v>175</v>
      </c>
      <c r="AX6" s="3" t="s">
        <v>178</v>
      </c>
      <c r="BA6" s="3" t="s">
        <v>184</v>
      </c>
    </row>
    <row r="7" spans="1:66" s="3" customFormat="1" x14ac:dyDescent="0.45">
      <c r="A7" s="5"/>
      <c r="C7" s="3" t="s">
        <v>58</v>
      </c>
      <c r="D7" s="5"/>
      <c r="E7" s="3" t="s">
        <v>79</v>
      </c>
      <c r="F7" s="5"/>
      <c r="G7" s="5"/>
      <c r="H7" s="3" t="s">
        <v>92</v>
      </c>
      <c r="J7" s="5"/>
      <c r="K7" s="3" t="s">
        <v>109</v>
      </c>
      <c r="M7" s="5"/>
      <c r="N7" s="3" t="s">
        <v>114</v>
      </c>
      <c r="P7" s="5"/>
      <c r="Q7" s="3" t="s">
        <v>122</v>
      </c>
      <c r="S7" s="5"/>
      <c r="T7" s="3" t="s">
        <v>128</v>
      </c>
      <c r="U7" s="5"/>
      <c r="V7" s="5"/>
      <c r="W7" s="3" t="s">
        <v>134</v>
      </c>
      <c r="Y7" s="5"/>
      <c r="Z7" s="3" t="s">
        <v>141</v>
      </c>
      <c r="AB7" s="5"/>
      <c r="AC7" s="3" t="s">
        <v>145</v>
      </c>
      <c r="AE7" s="5"/>
      <c r="AF7" s="3" t="s">
        <v>154</v>
      </c>
      <c r="AH7" s="5"/>
      <c r="AK7" s="5"/>
      <c r="AL7" s="3" t="s">
        <v>162</v>
      </c>
      <c r="AN7" s="5"/>
      <c r="AO7" s="3" t="s">
        <v>167</v>
      </c>
      <c r="AQ7" s="5"/>
      <c r="AR7" s="3" t="s">
        <v>170</v>
      </c>
      <c r="AT7" s="5"/>
      <c r="AW7" s="5"/>
      <c r="AX7" s="3" t="s">
        <v>179</v>
      </c>
      <c r="AZ7" s="5"/>
      <c r="BA7" s="3" t="s">
        <v>185</v>
      </c>
    </row>
    <row r="8" spans="1:66" s="3" customFormat="1" x14ac:dyDescent="0.45">
      <c r="C8" s="3" t="s">
        <v>59</v>
      </c>
      <c r="E8" s="3" t="s">
        <v>80</v>
      </c>
      <c r="H8" s="3" t="s">
        <v>93</v>
      </c>
      <c r="K8" s="3" t="s">
        <v>110</v>
      </c>
      <c r="N8" s="3" t="s">
        <v>115</v>
      </c>
      <c r="Q8" s="3" t="s">
        <v>123</v>
      </c>
      <c r="T8" s="3" t="s">
        <v>129</v>
      </c>
      <c r="W8" s="3" t="s">
        <v>135</v>
      </c>
      <c r="Z8" s="3" t="s">
        <v>142</v>
      </c>
      <c r="AC8" s="3" t="s">
        <v>146</v>
      </c>
      <c r="AF8" s="3" t="s">
        <v>155</v>
      </c>
      <c r="AL8" s="3" t="s">
        <v>163</v>
      </c>
      <c r="AR8" s="3" t="s">
        <v>171</v>
      </c>
      <c r="AX8" s="3" t="s">
        <v>180</v>
      </c>
    </row>
    <row r="9" spans="1:66" s="3" customFormat="1" x14ac:dyDescent="0.45">
      <c r="C9" s="3" t="s">
        <v>60</v>
      </c>
      <c r="E9" s="3" t="s">
        <v>81</v>
      </c>
      <c r="H9" s="3" t="s">
        <v>94</v>
      </c>
      <c r="K9" s="3" t="s">
        <v>111</v>
      </c>
      <c r="N9" s="3" t="s">
        <v>116</v>
      </c>
      <c r="Q9" s="3" t="s">
        <v>124</v>
      </c>
      <c r="T9" s="3" t="s">
        <v>130</v>
      </c>
      <c r="W9" s="3" t="s">
        <v>136</v>
      </c>
      <c r="AC9" s="3" t="s">
        <v>147</v>
      </c>
      <c r="AF9" s="3" t="s">
        <v>156</v>
      </c>
      <c r="AX9" s="3" t="s">
        <v>181</v>
      </c>
    </row>
    <row r="10" spans="1:66" s="3" customFormat="1" x14ac:dyDescent="0.45">
      <c r="C10" s="3" t="s">
        <v>61</v>
      </c>
      <c r="E10" s="3" t="s">
        <v>88</v>
      </c>
      <c r="H10" s="3" t="s">
        <v>95</v>
      </c>
      <c r="N10" s="3" t="s">
        <v>118</v>
      </c>
      <c r="W10" s="3" t="s">
        <v>137</v>
      </c>
      <c r="AC10" s="3" t="s">
        <v>148</v>
      </c>
    </row>
    <row r="11" spans="1:66" s="3" customFormat="1" x14ac:dyDescent="0.45">
      <c r="C11" s="3" t="s">
        <v>62</v>
      </c>
      <c r="E11" s="3" t="s">
        <v>82</v>
      </c>
      <c r="H11" s="3" t="s">
        <v>96</v>
      </c>
      <c r="AC11" s="3" t="s">
        <v>149</v>
      </c>
    </row>
    <row r="12" spans="1:66" s="3" customFormat="1" x14ac:dyDescent="0.45">
      <c r="C12" s="3" t="s">
        <v>63</v>
      </c>
      <c r="E12" s="3" t="s">
        <v>83</v>
      </c>
      <c r="H12" s="3" t="s">
        <v>97</v>
      </c>
      <c r="AC12" s="3" t="s">
        <v>150</v>
      </c>
    </row>
    <row r="13" spans="1:66" s="3" customFormat="1" x14ac:dyDescent="0.45">
      <c r="C13" s="3" t="s">
        <v>64</v>
      </c>
      <c r="E13" s="3" t="s">
        <v>84</v>
      </c>
      <c r="H13" s="3" t="s">
        <v>98</v>
      </c>
      <c r="AC13" s="3" t="s">
        <v>151</v>
      </c>
    </row>
    <row r="14" spans="1:66" s="3" customFormat="1" x14ac:dyDescent="0.45">
      <c r="C14" s="3" t="s">
        <v>65</v>
      </c>
      <c r="E14" s="3" t="s">
        <v>85</v>
      </c>
      <c r="H14" s="3" t="s">
        <v>99</v>
      </c>
    </row>
    <row r="15" spans="1:66" s="3" customFormat="1" x14ac:dyDescent="0.45">
      <c r="C15" s="3" t="s">
        <v>66</v>
      </c>
      <c r="E15" s="3" t="s">
        <v>86</v>
      </c>
      <c r="H15" s="3" t="s">
        <v>100</v>
      </c>
    </row>
    <row r="16" spans="1:66" s="3" customFormat="1" x14ac:dyDescent="0.45">
      <c r="C16" s="3" t="s">
        <v>67</v>
      </c>
      <c r="H16" s="3" t="s">
        <v>101</v>
      </c>
    </row>
    <row r="17" spans="3:8" s="3" customFormat="1" x14ac:dyDescent="0.45">
      <c r="C17" s="3" t="s">
        <v>68</v>
      </c>
      <c r="H17" s="3" t="s">
        <v>102</v>
      </c>
    </row>
    <row r="18" spans="3:8" s="3" customFormat="1" x14ac:dyDescent="0.45">
      <c r="C18" s="3" t="s">
        <v>69</v>
      </c>
      <c r="H18" s="3" t="s">
        <v>103</v>
      </c>
    </row>
    <row r="19" spans="3:8" s="3" customFormat="1" x14ac:dyDescent="0.45">
      <c r="C19" s="3" t="s">
        <v>70</v>
      </c>
      <c r="H19" s="3" t="s">
        <v>104</v>
      </c>
    </row>
    <row r="20" spans="3:8" s="3" customFormat="1" x14ac:dyDescent="0.45">
      <c r="C20" s="3" t="s">
        <v>71</v>
      </c>
      <c r="H20" s="3" t="s">
        <v>105</v>
      </c>
    </row>
    <row r="21" spans="3:8" s="3" customFormat="1" x14ac:dyDescent="0.45">
      <c r="C21" s="3" t="s">
        <v>72</v>
      </c>
    </row>
    <row r="22" spans="3:8" s="3" customFormat="1" x14ac:dyDescent="0.45">
      <c r="C22" s="3" t="s">
        <v>73</v>
      </c>
    </row>
    <row r="23" spans="3:8" s="3" customFormat="1" x14ac:dyDescent="0.45">
      <c r="C23" s="3" t="s">
        <v>74</v>
      </c>
    </row>
    <row r="24" spans="3:8" s="3" customFormat="1" x14ac:dyDescent="0.45">
      <c r="C24" s="3" t="s">
        <v>75</v>
      </c>
    </row>
    <row r="25" spans="3:8" s="3" customFormat="1" x14ac:dyDescent="0.45">
      <c r="C25" s="3" t="s">
        <v>76</v>
      </c>
    </row>
  </sheetData>
  <phoneticPr fontId="1"/>
  <conditionalFormatting sqref="G5">
    <cfRule type="cellIs" dxfId="2" priority="1" operator="equal">
      <formula>"親カテゴリ"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guroup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1470660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reset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68AE-1AFA-4249-8563-BB8D3635525B}">
  <sheetPr codeName="Sheet4"/>
  <dimension ref="A1:Z245"/>
  <sheetViews>
    <sheetView tabSelected="1" topLeftCell="A8" workbookViewId="0">
      <selection activeCell="B54" sqref="B54"/>
    </sheetView>
    <sheetView tabSelected="1" topLeftCell="E1" zoomScale="85" zoomScaleNormal="85" workbookViewId="1">
      <selection activeCell="R1" sqref="R1:R1048576"/>
    </sheetView>
  </sheetViews>
  <sheetFormatPr defaultRowHeight="18.600000000000001" customHeight="1" x14ac:dyDescent="0.45"/>
  <cols>
    <col min="1" max="1" width="27.09765625" bestFit="1" customWidth="1"/>
    <col min="2" max="3" width="47.3984375" bestFit="1" customWidth="1"/>
    <col min="4" max="4" width="10.19921875" bestFit="1" customWidth="1"/>
    <col min="5" max="5" width="4.8984375" bestFit="1" customWidth="1"/>
    <col min="7" max="7" width="22" bestFit="1" customWidth="1"/>
    <col min="8" max="8" width="3.59765625" bestFit="1" customWidth="1"/>
    <col min="9" max="9" width="4.8984375" customWidth="1"/>
    <col min="10" max="10" width="27.09765625" bestFit="1" customWidth="1"/>
    <col min="11" max="11" width="23.3984375" bestFit="1" customWidth="1"/>
    <col min="12" max="12" width="3.5" customWidth="1"/>
    <col min="13" max="13" width="45.3984375" style="3" bestFit="1" customWidth="1"/>
    <col min="14" max="14" width="6.09765625" style="3" bestFit="1" customWidth="1"/>
    <col min="15" max="15" width="3.69921875" customWidth="1"/>
    <col min="16" max="16" width="47.3984375" bestFit="1" customWidth="1"/>
    <col min="17" max="17" width="6.09765625" bestFit="1" customWidth="1"/>
    <col min="19" max="19" width="7.59765625" bestFit="1" customWidth="1"/>
    <col min="20" max="20" width="21.59765625" bestFit="1" customWidth="1"/>
    <col min="22" max="22" width="18" bestFit="1" customWidth="1"/>
    <col min="23" max="23" width="39.8984375" bestFit="1" customWidth="1"/>
    <col min="25" max="25" width="26" bestFit="1" customWidth="1"/>
    <col min="26" max="26" width="19.59765625" bestFit="1" customWidth="1"/>
    <col min="28" max="28" width="24.796875" bestFit="1" customWidth="1"/>
    <col min="29" max="29" width="29.69921875" bestFit="1" customWidth="1"/>
    <col min="31" max="31" width="21.5" bestFit="1" customWidth="1"/>
    <col min="32" max="32" width="45.3984375" bestFit="1" customWidth="1"/>
    <col min="34" max="34" width="13.59765625" bestFit="1" customWidth="1"/>
    <col min="35" max="35" width="9.69921875" bestFit="1" customWidth="1"/>
    <col min="37" max="37" width="13.59765625" bestFit="1" customWidth="1"/>
    <col min="38" max="38" width="23.5" bestFit="1" customWidth="1"/>
    <col min="40" max="40" width="13.59765625" bestFit="1" customWidth="1"/>
    <col min="41" max="41" width="15.69921875" bestFit="1" customWidth="1"/>
  </cols>
  <sheetData>
    <row r="1" spans="1:21" ht="18.600000000000001" customHeight="1" thickBot="1" x14ac:dyDescent="0.5">
      <c r="A1" s="7" t="s">
        <v>54</v>
      </c>
      <c r="B1" s="7" t="s">
        <v>55</v>
      </c>
      <c r="C1" s="7" t="s">
        <v>56</v>
      </c>
      <c r="D1" s="8" t="s">
        <v>213</v>
      </c>
      <c r="E1" s="9"/>
      <c r="F1" s="9"/>
      <c r="G1" s="7" t="s">
        <v>0</v>
      </c>
      <c r="H1" s="18"/>
      <c r="J1" s="13" t="s">
        <v>54</v>
      </c>
      <c r="K1" s="14"/>
      <c r="M1" s="15" t="s">
        <v>55</v>
      </c>
      <c r="N1" s="16"/>
      <c r="P1" s="13" t="s">
        <v>56</v>
      </c>
      <c r="Q1" s="17"/>
    </row>
    <row r="2" spans="1:21" s="3" customFormat="1" ht="18.600000000000001" customHeight="1" x14ac:dyDescent="0.45">
      <c r="A2" s="10" t="s">
        <v>50</v>
      </c>
      <c r="B2" s="10" t="s">
        <v>51</v>
      </c>
      <c r="C2" s="10" t="s">
        <v>53</v>
      </c>
      <c r="D2" s="10" t="str">
        <f>IFERROR(VLOOKUP(A2,$J$2:$K$19,2,FALSE),"")</f>
        <v>PL</v>
      </c>
      <c r="E2" s="10" t="str">
        <f>IFERROR(VLOOKUP(B2,$M$2:$N$115,2,FALSE),"")</f>
        <v>JV</v>
      </c>
      <c r="F2" s="10" t="str">
        <f>IFERROR(VLOOKUP(C2,$P$2:$Q$100,2,FALSE),"")</f>
        <v>SY</v>
      </c>
      <c r="G2" s="10" t="str">
        <f>IF(D2="","",IF(F2="",D2&amp;"-"&amp;E2&amp;"-",D2&amp;"-"&amp;E2&amp;"-"&amp;F2&amp;"-"))</f>
        <v>PL-JV-SY-</v>
      </c>
      <c r="H2" s="19">
        <f>IF(G2="","",COUNTIF($G$2:$G$190,G2))</f>
        <v>1</v>
      </c>
      <c r="I2" s="6"/>
      <c r="J2" s="12" t="s">
        <v>301</v>
      </c>
      <c r="K2" s="12" t="s">
        <v>187</v>
      </c>
      <c r="M2" s="12" t="s">
        <v>301</v>
      </c>
      <c r="N2" s="12" t="s">
        <v>186</v>
      </c>
      <c r="P2" s="12" t="s">
        <v>53</v>
      </c>
      <c r="Q2" s="10" t="s">
        <v>195</v>
      </c>
    </row>
    <row r="3" spans="1:21" s="3" customFormat="1" ht="18.600000000000001" customHeight="1" x14ac:dyDescent="0.45">
      <c r="A3" s="10" t="s">
        <v>50</v>
      </c>
      <c r="B3" s="10" t="s">
        <v>51</v>
      </c>
      <c r="C3" s="10" t="s">
        <v>57</v>
      </c>
      <c r="D3" s="10" t="str">
        <f t="shared" ref="D3:D66" si="0">IFERROR(VLOOKUP(A3,$J$2:$K$19,2,FALSE),"")</f>
        <v>PL</v>
      </c>
      <c r="E3" s="10" t="str">
        <f t="shared" ref="E3:E66" si="1">IFERROR(VLOOKUP(B3,$M$2:$N$115,2,FALSE),"")</f>
        <v>JV</v>
      </c>
      <c r="F3" s="10" t="str">
        <f t="shared" ref="F3:F43" si="2">IFERROR(VLOOKUP(C3,$P$2:$Q$100,2,FALSE),"")</f>
        <v>DT</v>
      </c>
      <c r="G3" s="10" t="str">
        <f t="shared" ref="G3:G66" si="3">IF(D3="","",IF(F3="",D3&amp;"-"&amp;E3&amp;"-",D3&amp;"-"&amp;E3&amp;"-"&amp;F3&amp;"-"))</f>
        <v>PL-JV-DT-</v>
      </c>
      <c r="H3" s="19">
        <f t="shared" ref="H3:H66" si="4">IF(G3="","",COUNTIF($G$2:$G$190,G3))</f>
        <v>1</v>
      </c>
      <c r="I3" s="6"/>
      <c r="J3" s="10" t="s">
        <v>307</v>
      </c>
      <c r="K3" s="10" t="s">
        <v>214</v>
      </c>
      <c r="M3" s="10" t="s">
        <v>302</v>
      </c>
      <c r="N3" s="10" t="s">
        <v>214</v>
      </c>
      <c r="P3" s="10" t="s">
        <v>57</v>
      </c>
      <c r="Q3" s="10" t="s">
        <v>196</v>
      </c>
    </row>
    <row r="4" spans="1:21" s="3" customFormat="1" ht="18.600000000000001" customHeight="1" x14ac:dyDescent="0.45">
      <c r="A4" s="10" t="s">
        <v>50</v>
      </c>
      <c r="B4" s="10" t="s">
        <v>51</v>
      </c>
      <c r="C4" s="10" t="s">
        <v>58</v>
      </c>
      <c r="D4" s="10" t="str">
        <f t="shared" si="0"/>
        <v>PL</v>
      </c>
      <c r="E4" s="10" t="str">
        <f t="shared" si="1"/>
        <v>JV</v>
      </c>
      <c r="F4" s="10" t="str">
        <f t="shared" si="2"/>
        <v>SL</v>
      </c>
      <c r="G4" s="10" t="str">
        <f t="shared" si="3"/>
        <v>PL-JV-SL-</v>
      </c>
      <c r="H4" s="19">
        <f t="shared" si="4"/>
        <v>1</v>
      </c>
      <c r="I4" s="6"/>
      <c r="J4" s="10" t="s">
        <v>303</v>
      </c>
      <c r="K4" s="10" t="s">
        <v>215</v>
      </c>
      <c r="M4" s="10" t="s">
        <v>303</v>
      </c>
      <c r="N4" s="10" t="s">
        <v>215</v>
      </c>
      <c r="P4" s="10" t="s">
        <v>58</v>
      </c>
      <c r="Q4" s="10" t="s">
        <v>197</v>
      </c>
      <c r="U4" s="5"/>
    </row>
    <row r="5" spans="1:21" s="3" customFormat="1" ht="18.600000000000001" customHeight="1" x14ac:dyDescent="0.45">
      <c r="A5" s="10" t="s">
        <v>50</v>
      </c>
      <c r="B5" s="10" t="s">
        <v>51</v>
      </c>
      <c r="C5" s="10" t="s">
        <v>59</v>
      </c>
      <c r="D5" s="10" t="str">
        <f t="shared" si="0"/>
        <v>PL</v>
      </c>
      <c r="E5" s="10" t="str">
        <f t="shared" si="1"/>
        <v>JV</v>
      </c>
      <c r="F5" s="10" t="str">
        <f t="shared" si="2"/>
        <v>EL</v>
      </c>
      <c r="G5" s="10" t="str">
        <f t="shared" si="3"/>
        <v>PL-JV-EL-</v>
      </c>
      <c r="H5" s="19">
        <f t="shared" si="4"/>
        <v>1</v>
      </c>
      <c r="I5" s="6"/>
      <c r="J5" s="10" t="s">
        <v>106</v>
      </c>
      <c r="K5" s="10" t="s">
        <v>216</v>
      </c>
      <c r="M5" s="10" t="s">
        <v>106</v>
      </c>
      <c r="N5" s="10" t="s">
        <v>216</v>
      </c>
      <c r="P5" s="10" t="s">
        <v>59</v>
      </c>
      <c r="Q5" s="10" t="s">
        <v>198</v>
      </c>
    </row>
    <row r="6" spans="1:21" s="3" customFormat="1" ht="18.600000000000001" customHeight="1" x14ac:dyDescent="0.45">
      <c r="A6" s="10" t="s">
        <v>50</v>
      </c>
      <c r="B6" s="10" t="s">
        <v>51</v>
      </c>
      <c r="C6" s="10" t="s">
        <v>60</v>
      </c>
      <c r="D6" s="10" t="str">
        <f t="shared" si="0"/>
        <v>PL</v>
      </c>
      <c r="E6" s="10" t="str">
        <f t="shared" si="1"/>
        <v>JV</v>
      </c>
      <c r="F6" s="10" t="str">
        <f t="shared" si="2"/>
        <v>FW</v>
      </c>
      <c r="G6" s="10" t="str">
        <f t="shared" si="3"/>
        <v>PL-JV-FW-</v>
      </c>
      <c r="H6" s="19">
        <f t="shared" si="4"/>
        <v>1</v>
      </c>
      <c r="I6" s="6"/>
      <c r="J6" s="10" t="s">
        <v>304</v>
      </c>
      <c r="K6" s="10" t="s">
        <v>201</v>
      </c>
      <c r="M6" s="10" t="s">
        <v>304</v>
      </c>
      <c r="N6" s="10" t="s">
        <v>201</v>
      </c>
      <c r="P6" s="10" t="s">
        <v>60</v>
      </c>
      <c r="Q6" s="10" t="s">
        <v>199</v>
      </c>
    </row>
    <row r="7" spans="1:21" s="3" customFormat="1" ht="18.600000000000001" customHeight="1" x14ac:dyDescent="0.45">
      <c r="A7" s="10" t="s">
        <v>50</v>
      </c>
      <c r="B7" s="10" t="s">
        <v>51</v>
      </c>
      <c r="C7" s="10" t="s">
        <v>61</v>
      </c>
      <c r="D7" s="10" t="str">
        <f t="shared" si="0"/>
        <v>PL</v>
      </c>
      <c r="E7" s="10" t="str">
        <f t="shared" si="1"/>
        <v>JV</v>
      </c>
      <c r="F7" s="10" t="str">
        <f t="shared" si="2"/>
        <v>DE</v>
      </c>
      <c r="G7" s="10" t="str">
        <f t="shared" si="3"/>
        <v>PL-JV-DE-</v>
      </c>
      <c r="H7" s="19">
        <f t="shared" si="4"/>
        <v>1</v>
      </c>
      <c r="I7" s="6"/>
      <c r="J7" s="10" t="s">
        <v>119</v>
      </c>
      <c r="K7" s="10" t="s">
        <v>217</v>
      </c>
      <c r="M7" s="10" t="s">
        <v>119</v>
      </c>
      <c r="N7" s="10" t="s">
        <v>217</v>
      </c>
      <c r="P7" s="10" t="s">
        <v>61</v>
      </c>
      <c r="Q7" s="10" t="s">
        <v>193</v>
      </c>
    </row>
    <row r="8" spans="1:21" s="3" customFormat="1" ht="18.600000000000001" customHeight="1" x14ac:dyDescent="0.45">
      <c r="A8" s="10" t="s">
        <v>50</v>
      </c>
      <c r="B8" s="10" t="s">
        <v>51</v>
      </c>
      <c r="C8" s="10" t="s">
        <v>62</v>
      </c>
      <c r="D8" s="10" t="str">
        <f t="shared" si="0"/>
        <v>PL</v>
      </c>
      <c r="E8" s="10" t="str">
        <f t="shared" si="1"/>
        <v>JV</v>
      </c>
      <c r="F8" s="10" t="str">
        <f t="shared" si="2"/>
        <v>TE</v>
      </c>
      <c r="G8" s="10" t="str">
        <f t="shared" si="3"/>
        <v>PL-JV-TE-</v>
      </c>
      <c r="H8" s="19">
        <f t="shared" si="4"/>
        <v>1</v>
      </c>
      <c r="I8" s="6"/>
      <c r="J8" s="10" t="s">
        <v>125</v>
      </c>
      <c r="K8" s="10" t="s">
        <v>218</v>
      </c>
      <c r="M8" s="10" t="s">
        <v>125</v>
      </c>
      <c r="N8" s="10" t="s">
        <v>218</v>
      </c>
      <c r="P8" s="10" t="s">
        <v>62</v>
      </c>
      <c r="Q8" s="10" t="s">
        <v>200</v>
      </c>
    </row>
    <row r="9" spans="1:21" s="3" customFormat="1" ht="18.600000000000001" customHeight="1" x14ac:dyDescent="0.45">
      <c r="A9" s="10" t="s">
        <v>50</v>
      </c>
      <c r="B9" s="10" t="s">
        <v>51</v>
      </c>
      <c r="C9" s="10" t="s">
        <v>63</v>
      </c>
      <c r="D9" s="10" t="str">
        <f t="shared" si="0"/>
        <v>PL</v>
      </c>
      <c r="E9" s="10" t="str">
        <f t="shared" si="1"/>
        <v>JV</v>
      </c>
      <c r="F9" s="10" t="str">
        <f t="shared" si="2"/>
        <v>DB</v>
      </c>
      <c r="G9" s="10" t="str">
        <f t="shared" si="3"/>
        <v>PL-JV-DB-</v>
      </c>
      <c r="H9" s="19">
        <f t="shared" si="4"/>
        <v>1</v>
      </c>
      <c r="I9" s="6"/>
      <c r="J9" s="10" t="s">
        <v>131</v>
      </c>
      <c r="K9" s="10" t="s">
        <v>219</v>
      </c>
      <c r="M9" s="10" t="s">
        <v>131</v>
      </c>
      <c r="N9" s="10" t="s">
        <v>219</v>
      </c>
      <c r="P9" s="10" t="s">
        <v>63</v>
      </c>
      <c r="Q9" s="10" t="s">
        <v>201</v>
      </c>
    </row>
    <row r="10" spans="1:21" s="3" customFormat="1" ht="18.600000000000001" customHeight="1" x14ac:dyDescent="0.45">
      <c r="A10" s="10" t="s">
        <v>50</v>
      </c>
      <c r="B10" s="10" t="s">
        <v>51</v>
      </c>
      <c r="C10" s="10" t="s">
        <v>64</v>
      </c>
      <c r="D10" s="10" t="str">
        <f t="shared" si="0"/>
        <v>PL</v>
      </c>
      <c r="E10" s="10" t="str">
        <f t="shared" si="1"/>
        <v>JV</v>
      </c>
      <c r="F10" s="10" t="str">
        <f t="shared" si="2"/>
        <v>OO</v>
      </c>
      <c r="G10" s="10" t="str">
        <f t="shared" si="3"/>
        <v>PL-JV-OO-</v>
      </c>
      <c r="H10" s="19">
        <f t="shared" si="4"/>
        <v>1</v>
      </c>
      <c r="I10" s="6"/>
      <c r="J10" s="10" t="s">
        <v>138</v>
      </c>
      <c r="K10" s="10" t="s">
        <v>225</v>
      </c>
      <c r="M10" s="10" t="s">
        <v>138</v>
      </c>
      <c r="N10" s="10" t="s">
        <v>308</v>
      </c>
      <c r="P10" s="10" t="s">
        <v>64</v>
      </c>
      <c r="Q10" s="10" t="s">
        <v>202</v>
      </c>
    </row>
    <row r="11" spans="1:21" s="3" customFormat="1" ht="18.600000000000001" customHeight="1" x14ac:dyDescent="0.45">
      <c r="A11" s="10" t="s">
        <v>50</v>
      </c>
      <c r="B11" s="10" t="s">
        <v>51</v>
      </c>
      <c r="C11" s="10" t="s">
        <v>65</v>
      </c>
      <c r="D11" s="10" t="str">
        <f t="shared" si="0"/>
        <v>PL</v>
      </c>
      <c r="E11" s="10" t="str">
        <f t="shared" si="1"/>
        <v>JV</v>
      </c>
      <c r="F11" s="10" t="str">
        <f t="shared" si="2"/>
        <v>FP</v>
      </c>
      <c r="G11" s="10" t="str">
        <f t="shared" si="3"/>
        <v>PL-JV-FP-</v>
      </c>
      <c r="H11" s="19">
        <f t="shared" si="4"/>
        <v>1</v>
      </c>
      <c r="I11" s="6"/>
      <c r="J11" s="10" t="s">
        <v>143</v>
      </c>
      <c r="K11" s="10" t="s">
        <v>220</v>
      </c>
      <c r="M11" s="10" t="s">
        <v>143</v>
      </c>
      <c r="N11" s="10" t="s">
        <v>220</v>
      </c>
      <c r="P11" s="10" t="s">
        <v>65</v>
      </c>
      <c r="Q11" s="10" t="s">
        <v>203</v>
      </c>
    </row>
    <row r="12" spans="1:21" s="3" customFormat="1" ht="18.600000000000001" customHeight="1" x14ac:dyDescent="0.45">
      <c r="A12" s="10" t="s">
        <v>50</v>
      </c>
      <c r="B12" s="10" t="s">
        <v>51</v>
      </c>
      <c r="C12" s="10" t="s">
        <v>66</v>
      </c>
      <c r="D12" s="10" t="str">
        <f t="shared" si="0"/>
        <v>PL</v>
      </c>
      <c r="E12" s="10" t="str">
        <f t="shared" si="1"/>
        <v>JV</v>
      </c>
      <c r="F12" s="10" t="str">
        <f t="shared" si="2"/>
        <v>PP</v>
      </c>
      <c r="G12" s="10" t="str">
        <f t="shared" si="3"/>
        <v>PL-JV-PP-</v>
      </c>
      <c r="H12" s="19">
        <f t="shared" si="4"/>
        <v>1</v>
      </c>
      <c r="I12" s="6"/>
      <c r="J12" s="10" t="s">
        <v>152</v>
      </c>
      <c r="K12" s="10" t="s">
        <v>309</v>
      </c>
      <c r="M12" s="10" t="s">
        <v>152</v>
      </c>
      <c r="N12" s="10" t="s">
        <v>221</v>
      </c>
      <c r="P12" s="10" t="s">
        <v>66</v>
      </c>
      <c r="Q12" s="10" t="s">
        <v>204</v>
      </c>
    </row>
    <row r="13" spans="1:21" s="3" customFormat="1" ht="18.600000000000001" customHeight="1" x14ac:dyDescent="0.45">
      <c r="A13" s="10" t="s">
        <v>50</v>
      </c>
      <c r="B13" s="10" t="s">
        <v>51</v>
      </c>
      <c r="C13" s="10" t="s">
        <v>67</v>
      </c>
      <c r="D13" s="10" t="str">
        <f t="shared" si="0"/>
        <v>PL</v>
      </c>
      <c r="E13" s="10" t="str">
        <f t="shared" si="1"/>
        <v>JV</v>
      </c>
      <c r="F13" s="10" t="str">
        <f t="shared" si="2"/>
        <v>SQ</v>
      </c>
      <c r="G13" s="10" t="str">
        <f t="shared" si="3"/>
        <v>PL-JV-SQ-</v>
      </c>
      <c r="H13" s="19">
        <f t="shared" si="4"/>
        <v>1</v>
      </c>
      <c r="I13" s="6"/>
      <c r="J13" s="10" t="s">
        <v>157</v>
      </c>
      <c r="K13" s="10" t="s">
        <v>222</v>
      </c>
      <c r="M13" s="10" t="s">
        <v>157</v>
      </c>
      <c r="N13" s="10" t="s">
        <v>222</v>
      </c>
      <c r="P13" s="10" t="s">
        <v>67</v>
      </c>
      <c r="Q13" s="10" t="s">
        <v>191</v>
      </c>
    </row>
    <row r="14" spans="1:21" s="3" customFormat="1" ht="18.600000000000001" customHeight="1" x14ac:dyDescent="0.45">
      <c r="A14" s="10" t="s">
        <v>50</v>
      </c>
      <c r="B14" s="10" t="s">
        <v>51</v>
      </c>
      <c r="C14" s="10" t="s">
        <v>68</v>
      </c>
      <c r="D14" s="10" t="str">
        <f t="shared" si="0"/>
        <v>PL</v>
      </c>
      <c r="E14" s="10" t="str">
        <f t="shared" si="1"/>
        <v>JV</v>
      </c>
      <c r="F14" s="10" t="str">
        <f t="shared" si="2"/>
        <v>OR</v>
      </c>
      <c r="G14" s="10" t="str">
        <f t="shared" si="3"/>
        <v>PL-JV-OR-</v>
      </c>
      <c r="H14" s="19">
        <f t="shared" si="4"/>
        <v>1</v>
      </c>
      <c r="I14" s="6"/>
      <c r="J14" s="10" t="s">
        <v>159</v>
      </c>
      <c r="K14" s="10" t="s">
        <v>223</v>
      </c>
      <c r="M14" s="10" t="s">
        <v>159</v>
      </c>
      <c r="N14" s="10" t="s">
        <v>223</v>
      </c>
      <c r="P14" s="10" t="s">
        <v>68</v>
      </c>
      <c r="Q14" s="10" t="s">
        <v>192</v>
      </c>
    </row>
    <row r="15" spans="1:21" s="3" customFormat="1" ht="18.600000000000001" customHeight="1" x14ac:dyDescent="0.45">
      <c r="A15" s="10" t="s">
        <v>50</v>
      </c>
      <c r="B15" s="10" t="s">
        <v>51</v>
      </c>
      <c r="C15" s="10" t="s">
        <v>69</v>
      </c>
      <c r="D15" s="10" t="str">
        <f t="shared" si="0"/>
        <v>PL</v>
      </c>
      <c r="E15" s="10" t="str">
        <f t="shared" si="1"/>
        <v>JV</v>
      </c>
      <c r="F15" s="10" t="str">
        <f t="shared" si="2"/>
        <v>UT</v>
      </c>
      <c r="G15" s="10" t="str">
        <f t="shared" si="3"/>
        <v>PL-JV-UT-</v>
      </c>
      <c r="H15" s="19">
        <f t="shared" si="4"/>
        <v>1</v>
      </c>
      <c r="I15" s="6"/>
      <c r="J15" s="10" t="s">
        <v>164</v>
      </c>
      <c r="K15" s="10" t="s">
        <v>224</v>
      </c>
      <c r="M15" s="10" t="s">
        <v>164</v>
      </c>
      <c r="N15" s="10" t="s">
        <v>224</v>
      </c>
      <c r="P15" s="10" t="s">
        <v>69</v>
      </c>
      <c r="Q15" s="10" t="s">
        <v>205</v>
      </c>
    </row>
    <row r="16" spans="1:21" s="3" customFormat="1" ht="18.600000000000001" customHeight="1" x14ac:dyDescent="0.45">
      <c r="A16" s="10" t="s">
        <v>50</v>
      </c>
      <c r="B16" s="10" t="s">
        <v>51</v>
      </c>
      <c r="C16" s="10" t="s">
        <v>70</v>
      </c>
      <c r="D16" s="10" t="str">
        <f t="shared" si="0"/>
        <v>PL</v>
      </c>
      <c r="E16" s="10" t="str">
        <f t="shared" si="1"/>
        <v>JV</v>
      </c>
      <c r="F16" s="10" t="str">
        <f t="shared" si="2"/>
        <v>IT</v>
      </c>
      <c r="G16" s="10" t="str">
        <f t="shared" si="3"/>
        <v>PL-JV-IT-</v>
      </c>
      <c r="H16" s="19">
        <f t="shared" si="4"/>
        <v>1</v>
      </c>
      <c r="I16" s="6"/>
      <c r="J16" s="10" t="s">
        <v>172</v>
      </c>
      <c r="K16" s="10" t="s">
        <v>385</v>
      </c>
      <c r="M16" s="10" t="s">
        <v>172</v>
      </c>
      <c r="N16" s="10" t="s">
        <v>325</v>
      </c>
      <c r="P16" s="10" t="s">
        <v>70</v>
      </c>
      <c r="Q16" s="10" t="s">
        <v>206</v>
      </c>
    </row>
    <row r="17" spans="1:26" s="3" customFormat="1" ht="18.600000000000001" customHeight="1" x14ac:dyDescent="0.45">
      <c r="A17" s="10" t="s">
        <v>50</v>
      </c>
      <c r="B17" s="10" t="s">
        <v>51</v>
      </c>
      <c r="C17" s="10" t="s">
        <v>71</v>
      </c>
      <c r="D17" s="10" t="str">
        <f t="shared" si="0"/>
        <v>PL</v>
      </c>
      <c r="E17" s="10" t="str">
        <f t="shared" si="1"/>
        <v>JV</v>
      </c>
      <c r="F17" s="10" t="str">
        <f t="shared" si="2"/>
        <v>MK</v>
      </c>
      <c r="G17" s="10" t="str">
        <f t="shared" si="3"/>
        <v>PL-JV-MK-</v>
      </c>
      <c r="H17" s="19">
        <f t="shared" si="4"/>
        <v>1</v>
      </c>
      <c r="I17" s="6"/>
      <c r="J17" s="10" t="s">
        <v>173</v>
      </c>
      <c r="K17" s="10" t="s">
        <v>386</v>
      </c>
      <c r="M17" s="10" t="s">
        <v>173</v>
      </c>
      <c r="N17" s="10" t="s">
        <v>210</v>
      </c>
      <c r="P17" s="10" t="s">
        <v>71</v>
      </c>
      <c r="Q17" s="10" t="s">
        <v>207</v>
      </c>
    </row>
    <row r="18" spans="1:26" s="3" customFormat="1" ht="18.600000000000001" customHeight="1" x14ac:dyDescent="0.45">
      <c r="A18" s="10" t="s">
        <v>50</v>
      </c>
      <c r="B18" s="10" t="s">
        <v>51</v>
      </c>
      <c r="C18" s="10" t="s">
        <v>72</v>
      </c>
      <c r="D18" s="10" t="str">
        <f t="shared" si="0"/>
        <v>PL</v>
      </c>
      <c r="E18" s="10" t="str">
        <f t="shared" si="1"/>
        <v>JV</v>
      </c>
      <c r="F18" s="10" t="str">
        <f t="shared" si="2"/>
        <v>OP</v>
      </c>
      <c r="G18" s="10" t="str">
        <f t="shared" si="3"/>
        <v>PL-JV-OP-</v>
      </c>
      <c r="H18" s="19">
        <f t="shared" si="4"/>
        <v>1</v>
      </c>
      <c r="I18" s="6"/>
      <c r="J18" s="10" t="s">
        <v>176</v>
      </c>
      <c r="K18" s="10" t="s">
        <v>305</v>
      </c>
      <c r="M18" s="10" t="s">
        <v>176</v>
      </c>
      <c r="N18" s="10" t="s">
        <v>305</v>
      </c>
      <c r="P18" s="10" t="s">
        <v>72</v>
      </c>
      <c r="Q18" s="10" t="s">
        <v>208</v>
      </c>
    </row>
    <row r="19" spans="1:26" s="3" customFormat="1" ht="18.600000000000001" customHeight="1" x14ac:dyDescent="0.45">
      <c r="A19" s="10" t="s">
        <v>50</v>
      </c>
      <c r="B19" s="10" t="s">
        <v>51</v>
      </c>
      <c r="C19" s="10" t="s">
        <v>73</v>
      </c>
      <c r="D19" s="10" t="str">
        <f t="shared" si="0"/>
        <v>PL</v>
      </c>
      <c r="E19" s="10" t="str">
        <f t="shared" si="1"/>
        <v>JV</v>
      </c>
      <c r="F19" s="10" t="str">
        <f t="shared" si="2"/>
        <v>MM</v>
      </c>
      <c r="G19" s="10" t="str">
        <f t="shared" si="3"/>
        <v>PL-JV-MM-</v>
      </c>
      <c r="H19" s="19">
        <f t="shared" si="4"/>
        <v>1</v>
      </c>
      <c r="I19" s="6"/>
      <c r="J19" s="10" t="s">
        <v>182</v>
      </c>
      <c r="K19" s="10" t="s">
        <v>306</v>
      </c>
      <c r="M19" s="10" t="s">
        <v>182</v>
      </c>
      <c r="N19" s="10" t="s">
        <v>306</v>
      </c>
      <c r="P19" s="10" t="s">
        <v>73</v>
      </c>
      <c r="Q19" s="10" t="s">
        <v>209</v>
      </c>
    </row>
    <row r="20" spans="1:26" s="3" customFormat="1" ht="18.600000000000001" customHeight="1" x14ac:dyDescent="0.45">
      <c r="A20" s="10" t="s">
        <v>50</v>
      </c>
      <c r="B20" s="10" t="s">
        <v>51</v>
      </c>
      <c r="C20" s="10" t="s">
        <v>74</v>
      </c>
      <c r="D20" s="10" t="str">
        <f t="shared" si="0"/>
        <v>PL</v>
      </c>
      <c r="E20" s="10" t="str">
        <f t="shared" si="1"/>
        <v>JV</v>
      </c>
      <c r="F20" s="10" t="str">
        <f t="shared" si="2"/>
        <v>TM</v>
      </c>
      <c r="G20" s="10" t="str">
        <f t="shared" si="3"/>
        <v>PL-JV-TM-</v>
      </c>
      <c r="H20" s="19">
        <f t="shared" si="4"/>
        <v>1</v>
      </c>
      <c r="I20" s="6"/>
      <c r="M20" s="10" t="s">
        <v>372</v>
      </c>
      <c r="N20" s="10" t="s">
        <v>310</v>
      </c>
      <c r="P20" s="10" t="s">
        <v>74</v>
      </c>
      <c r="Q20" s="10" t="s">
        <v>210</v>
      </c>
    </row>
    <row r="21" spans="1:26" s="3" customFormat="1" ht="18.600000000000001" customHeight="1" x14ac:dyDescent="0.45">
      <c r="A21" s="10" t="s">
        <v>50</v>
      </c>
      <c r="B21" s="10" t="s">
        <v>51</v>
      </c>
      <c r="C21" s="10" t="s">
        <v>75</v>
      </c>
      <c r="D21" s="10" t="str">
        <f t="shared" si="0"/>
        <v>PL</v>
      </c>
      <c r="E21" s="10" t="str">
        <f t="shared" si="1"/>
        <v>JV</v>
      </c>
      <c r="F21" s="10" t="str">
        <f t="shared" si="2"/>
        <v>EX</v>
      </c>
      <c r="G21" s="10" t="str">
        <f t="shared" si="3"/>
        <v>PL-JV-EX-</v>
      </c>
      <c r="H21" s="19">
        <f t="shared" si="4"/>
        <v>1</v>
      </c>
      <c r="I21" s="6"/>
      <c r="M21" s="10" t="s">
        <v>373</v>
      </c>
      <c r="N21" s="10" t="s">
        <v>311</v>
      </c>
      <c r="P21" s="10" t="s">
        <v>75</v>
      </c>
      <c r="Q21" s="10" t="s">
        <v>211</v>
      </c>
    </row>
    <row r="22" spans="1:26" s="3" customFormat="1" ht="18.600000000000001" customHeight="1" x14ac:dyDescent="0.45">
      <c r="A22" s="10" t="s">
        <v>50</v>
      </c>
      <c r="B22" s="10" t="s">
        <v>51</v>
      </c>
      <c r="C22" s="10" t="s">
        <v>76</v>
      </c>
      <c r="D22" s="10" t="str">
        <f t="shared" si="0"/>
        <v>PL</v>
      </c>
      <c r="E22" s="10" t="str">
        <f t="shared" si="1"/>
        <v>JV</v>
      </c>
      <c r="F22" s="10" t="str">
        <f t="shared" si="2"/>
        <v>LG</v>
      </c>
      <c r="G22" s="10" t="str">
        <f t="shared" si="3"/>
        <v>PL-JV-LG-</v>
      </c>
      <c r="H22" s="19">
        <f t="shared" si="4"/>
        <v>1</v>
      </c>
      <c r="I22" s="6"/>
      <c r="M22" s="10" t="s">
        <v>374</v>
      </c>
      <c r="N22" s="10" t="s">
        <v>206</v>
      </c>
      <c r="P22" s="10" t="s">
        <v>76</v>
      </c>
      <c r="Q22" s="10" t="s">
        <v>212</v>
      </c>
    </row>
    <row r="23" spans="1:26" s="4" customFormat="1" ht="18.600000000000001" customHeight="1" x14ac:dyDescent="0.45">
      <c r="A23" s="10" t="s">
        <v>50</v>
      </c>
      <c r="B23" s="10" t="s">
        <v>52</v>
      </c>
      <c r="C23" s="10" t="s">
        <v>53</v>
      </c>
      <c r="D23" s="10" t="str">
        <f t="shared" si="0"/>
        <v>PL</v>
      </c>
      <c r="E23" s="10" t="str">
        <f t="shared" si="1"/>
        <v>JS</v>
      </c>
      <c r="F23" s="10" t="str">
        <f t="shared" si="2"/>
        <v>SY</v>
      </c>
      <c r="G23" s="10" t="str">
        <f t="shared" si="3"/>
        <v>PL-JS-SY-</v>
      </c>
      <c r="H23" s="19">
        <f t="shared" si="4"/>
        <v>1</v>
      </c>
      <c r="M23" s="10" t="s">
        <v>375</v>
      </c>
      <c r="N23" s="10" t="s">
        <v>312</v>
      </c>
    </row>
    <row r="24" spans="1:26" s="4" customFormat="1" ht="18.600000000000001" customHeight="1" x14ac:dyDescent="0.45">
      <c r="A24" s="10" t="s">
        <v>50</v>
      </c>
      <c r="B24" s="10" t="s">
        <v>52</v>
      </c>
      <c r="C24" s="10" t="s">
        <v>57</v>
      </c>
      <c r="D24" s="10" t="str">
        <f t="shared" si="0"/>
        <v>PL</v>
      </c>
      <c r="E24" s="10" t="str">
        <f t="shared" si="1"/>
        <v>JS</v>
      </c>
      <c r="F24" s="10" t="str">
        <f t="shared" si="2"/>
        <v>DT</v>
      </c>
      <c r="G24" s="10" t="str">
        <f t="shared" si="3"/>
        <v>PL-JS-DT-</v>
      </c>
      <c r="H24" s="19">
        <f t="shared" si="4"/>
        <v>1</v>
      </c>
      <c r="M24" s="10" t="s">
        <v>376</v>
      </c>
      <c r="N24" s="10" t="s">
        <v>313</v>
      </c>
    </row>
    <row r="25" spans="1:26" s="4" customFormat="1" ht="18.600000000000001" customHeight="1" x14ac:dyDescent="0.45">
      <c r="A25" s="10" t="s">
        <v>50</v>
      </c>
      <c r="B25" s="10" t="s">
        <v>52</v>
      </c>
      <c r="C25" s="10" t="s">
        <v>58</v>
      </c>
      <c r="D25" s="10" t="str">
        <f t="shared" si="0"/>
        <v>PL</v>
      </c>
      <c r="E25" s="10" t="str">
        <f t="shared" si="1"/>
        <v>JS</v>
      </c>
      <c r="F25" s="10" t="str">
        <f t="shared" si="2"/>
        <v>SL</v>
      </c>
      <c r="G25" s="10" t="str">
        <f t="shared" si="3"/>
        <v>PL-JS-SL-</v>
      </c>
      <c r="H25" s="19">
        <f t="shared" si="4"/>
        <v>1</v>
      </c>
      <c r="M25" s="10" t="s">
        <v>377</v>
      </c>
      <c r="N25" s="10" t="s">
        <v>314</v>
      </c>
    </row>
    <row r="26" spans="1:26" s="4" customFormat="1" ht="18.600000000000001" customHeight="1" x14ac:dyDescent="0.45">
      <c r="A26" s="10" t="s">
        <v>50</v>
      </c>
      <c r="B26" s="10" t="s">
        <v>52</v>
      </c>
      <c r="C26" s="10" t="s">
        <v>59</v>
      </c>
      <c r="D26" s="10" t="str">
        <f t="shared" si="0"/>
        <v>PL</v>
      </c>
      <c r="E26" s="10" t="str">
        <f t="shared" si="1"/>
        <v>JS</v>
      </c>
      <c r="F26" s="10" t="str">
        <f t="shared" si="2"/>
        <v>EL</v>
      </c>
      <c r="G26" s="10" t="str">
        <f t="shared" si="3"/>
        <v>PL-JS-EL-</v>
      </c>
      <c r="H26" s="19">
        <f t="shared" si="4"/>
        <v>1</v>
      </c>
      <c r="M26" s="10" t="s">
        <v>378</v>
      </c>
      <c r="N26" s="10" t="s">
        <v>315</v>
      </c>
    </row>
    <row r="27" spans="1:26" s="4" customFormat="1" ht="18.600000000000001" customHeight="1" x14ac:dyDescent="0.45">
      <c r="A27" s="10" t="s">
        <v>50</v>
      </c>
      <c r="B27" s="10" t="s">
        <v>52</v>
      </c>
      <c r="C27" s="10" t="s">
        <v>60</v>
      </c>
      <c r="D27" s="10" t="str">
        <f t="shared" si="0"/>
        <v>PL</v>
      </c>
      <c r="E27" s="10" t="str">
        <f t="shared" si="1"/>
        <v>JS</v>
      </c>
      <c r="F27" s="10" t="str">
        <f t="shared" si="2"/>
        <v>FW</v>
      </c>
      <c r="G27" s="10" t="str">
        <f t="shared" si="3"/>
        <v>PL-JS-FW-</v>
      </c>
      <c r="H27" s="19">
        <f t="shared" si="4"/>
        <v>1</v>
      </c>
      <c r="M27" s="10" t="s">
        <v>379</v>
      </c>
      <c r="N27" s="10" t="s">
        <v>316</v>
      </c>
    </row>
    <row r="28" spans="1:26" s="4" customFormat="1" ht="18.600000000000001" customHeight="1" x14ac:dyDescent="0.45">
      <c r="A28" s="10" t="s">
        <v>50</v>
      </c>
      <c r="B28" s="10" t="s">
        <v>52</v>
      </c>
      <c r="C28" s="10" t="s">
        <v>61</v>
      </c>
      <c r="D28" s="10" t="str">
        <f t="shared" si="0"/>
        <v>PL</v>
      </c>
      <c r="E28" s="10" t="str">
        <f t="shared" si="1"/>
        <v>JS</v>
      </c>
      <c r="F28" s="10" t="str">
        <f t="shared" si="2"/>
        <v>DE</v>
      </c>
      <c r="G28" s="10" t="str">
        <f t="shared" si="3"/>
        <v>PL-JS-DE-</v>
      </c>
      <c r="H28" s="19">
        <f t="shared" si="4"/>
        <v>1</v>
      </c>
      <c r="M28" s="10" t="s">
        <v>380</v>
      </c>
      <c r="N28" s="10" t="s">
        <v>317</v>
      </c>
    </row>
    <row r="29" spans="1:26" s="4" customFormat="1" ht="18.600000000000001" customHeight="1" x14ac:dyDescent="0.45">
      <c r="A29" s="10" t="s">
        <v>50</v>
      </c>
      <c r="B29" s="10" t="s">
        <v>52</v>
      </c>
      <c r="C29" s="10" t="s">
        <v>62</v>
      </c>
      <c r="D29" s="10" t="str">
        <f t="shared" si="0"/>
        <v>PL</v>
      </c>
      <c r="E29" s="10" t="str">
        <f t="shared" si="1"/>
        <v>JS</v>
      </c>
      <c r="F29" s="10" t="str">
        <f t="shared" si="2"/>
        <v>TE</v>
      </c>
      <c r="G29" s="10" t="str">
        <f t="shared" si="3"/>
        <v>PL-JS-TE-</v>
      </c>
      <c r="H29" s="19">
        <f t="shared" si="4"/>
        <v>1</v>
      </c>
      <c r="M29" s="10" t="s">
        <v>381</v>
      </c>
      <c r="N29" s="10" t="s">
        <v>186</v>
      </c>
      <c r="P29" s="3"/>
      <c r="R29" s="3"/>
      <c r="U29" s="3"/>
      <c r="X29" s="3"/>
    </row>
    <row r="30" spans="1:26" s="4" customFormat="1" ht="18.600000000000001" customHeight="1" x14ac:dyDescent="0.45">
      <c r="A30" s="10" t="s">
        <v>50</v>
      </c>
      <c r="B30" s="10" t="s">
        <v>52</v>
      </c>
      <c r="C30" s="10" t="s">
        <v>63</v>
      </c>
      <c r="D30" s="10" t="str">
        <f t="shared" si="0"/>
        <v>PL</v>
      </c>
      <c r="E30" s="10" t="str">
        <f t="shared" si="1"/>
        <v>JS</v>
      </c>
      <c r="F30" s="10" t="str">
        <f t="shared" si="2"/>
        <v>DB</v>
      </c>
      <c r="G30" s="10" t="str">
        <f t="shared" si="3"/>
        <v>PL-JS-DB-</v>
      </c>
      <c r="H30" s="19">
        <f t="shared" si="4"/>
        <v>1</v>
      </c>
      <c r="M30" s="10" t="s">
        <v>382</v>
      </c>
      <c r="N30" s="10" t="s">
        <v>318</v>
      </c>
      <c r="P30" s="3"/>
      <c r="R30" s="3"/>
      <c r="S30" s="3"/>
      <c r="T30" s="3"/>
      <c r="U30" s="3"/>
      <c r="X30" s="3"/>
    </row>
    <row r="31" spans="1:26" s="4" customFormat="1" ht="18.600000000000001" customHeight="1" x14ac:dyDescent="0.45">
      <c r="A31" s="10" t="s">
        <v>50</v>
      </c>
      <c r="B31" s="10" t="s">
        <v>52</v>
      </c>
      <c r="C31" s="10" t="s">
        <v>64</v>
      </c>
      <c r="D31" s="10" t="str">
        <f t="shared" si="0"/>
        <v>PL</v>
      </c>
      <c r="E31" s="10" t="str">
        <f t="shared" si="1"/>
        <v>JS</v>
      </c>
      <c r="F31" s="10" t="str">
        <f t="shared" si="2"/>
        <v>OO</v>
      </c>
      <c r="G31" s="10" t="str">
        <f t="shared" si="3"/>
        <v>PL-JS-OO-</v>
      </c>
      <c r="H31" s="19">
        <f t="shared" si="4"/>
        <v>1</v>
      </c>
      <c r="M31" s="10" t="s">
        <v>90</v>
      </c>
      <c r="N31" s="10" t="s">
        <v>319</v>
      </c>
      <c r="P31" s="3"/>
      <c r="R31" s="3"/>
      <c r="S31" s="5"/>
      <c r="T31" s="3"/>
      <c r="U31" s="3"/>
      <c r="X31" s="3"/>
    </row>
    <row r="32" spans="1:26" s="4" customFormat="1" ht="18.600000000000001" customHeight="1" x14ac:dyDescent="0.45">
      <c r="A32" s="10" t="s">
        <v>50</v>
      </c>
      <c r="B32" s="10" t="s">
        <v>52</v>
      </c>
      <c r="C32" s="10" t="s">
        <v>65</v>
      </c>
      <c r="D32" s="10" t="str">
        <f t="shared" si="0"/>
        <v>PL</v>
      </c>
      <c r="E32" s="10" t="str">
        <f t="shared" si="1"/>
        <v>JS</v>
      </c>
      <c r="F32" s="10" t="str">
        <f t="shared" si="2"/>
        <v>FP</v>
      </c>
      <c r="G32" s="10" t="str">
        <f t="shared" si="3"/>
        <v>PL-JS-FP-</v>
      </c>
      <c r="H32" s="19">
        <f t="shared" si="4"/>
        <v>1</v>
      </c>
      <c r="M32" s="10" t="s">
        <v>91</v>
      </c>
      <c r="N32" s="10" t="s">
        <v>320</v>
      </c>
      <c r="P32" s="3"/>
      <c r="R32" s="3"/>
      <c r="S32" s="3"/>
      <c r="T32" s="3"/>
      <c r="U32" s="3"/>
      <c r="X32" s="3"/>
      <c r="Y32" s="3"/>
      <c r="Z32" s="3"/>
    </row>
    <row r="33" spans="1:26" s="4" customFormat="1" ht="18.600000000000001" customHeight="1" x14ac:dyDescent="0.45">
      <c r="A33" s="10" t="s">
        <v>50</v>
      </c>
      <c r="B33" s="10" t="s">
        <v>52</v>
      </c>
      <c r="C33" s="10" t="s">
        <v>66</v>
      </c>
      <c r="D33" s="10" t="str">
        <f t="shared" si="0"/>
        <v>PL</v>
      </c>
      <c r="E33" s="10" t="str">
        <f t="shared" si="1"/>
        <v>JS</v>
      </c>
      <c r="F33" s="10" t="str">
        <f t="shared" si="2"/>
        <v>PP</v>
      </c>
      <c r="G33" s="10" t="str">
        <f t="shared" si="3"/>
        <v>PL-JS-PP-</v>
      </c>
      <c r="H33" s="19">
        <f t="shared" si="4"/>
        <v>1</v>
      </c>
      <c r="M33" s="10" t="s">
        <v>92</v>
      </c>
      <c r="N33" s="10" t="s">
        <v>321</v>
      </c>
      <c r="P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8.600000000000001" customHeight="1" x14ac:dyDescent="0.45">
      <c r="A34" s="10" t="s">
        <v>50</v>
      </c>
      <c r="B34" s="10" t="s">
        <v>52</v>
      </c>
      <c r="C34" s="10" t="s">
        <v>67</v>
      </c>
      <c r="D34" s="10" t="str">
        <f t="shared" si="0"/>
        <v>PL</v>
      </c>
      <c r="E34" s="10" t="str">
        <f t="shared" si="1"/>
        <v>JS</v>
      </c>
      <c r="F34" s="10" t="str">
        <f t="shared" si="2"/>
        <v>SQ</v>
      </c>
      <c r="G34" s="10" t="str">
        <f t="shared" si="3"/>
        <v>PL-JS-SQ-</v>
      </c>
      <c r="H34" s="19">
        <f t="shared" si="4"/>
        <v>1</v>
      </c>
      <c r="M34" s="10" t="s">
        <v>93</v>
      </c>
      <c r="N34" s="10" t="s">
        <v>322</v>
      </c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8.600000000000001" customHeight="1" x14ac:dyDescent="0.45">
      <c r="A35" s="10" t="s">
        <v>50</v>
      </c>
      <c r="B35" s="10" t="s">
        <v>52</v>
      </c>
      <c r="C35" s="10" t="s">
        <v>68</v>
      </c>
      <c r="D35" s="10" t="str">
        <f t="shared" si="0"/>
        <v>PL</v>
      </c>
      <c r="E35" s="10" t="str">
        <f t="shared" si="1"/>
        <v>JS</v>
      </c>
      <c r="F35" s="10" t="str">
        <f t="shared" si="2"/>
        <v>OR</v>
      </c>
      <c r="G35" s="10" t="str">
        <f t="shared" si="3"/>
        <v>PL-JS-OR-</v>
      </c>
      <c r="H35" s="19">
        <f t="shared" si="4"/>
        <v>1</v>
      </c>
      <c r="M35" s="10" t="s">
        <v>94</v>
      </c>
      <c r="N35" s="10" t="s">
        <v>190</v>
      </c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8.600000000000001" customHeight="1" x14ac:dyDescent="0.45">
      <c r="A36" s="10" t="s">
        <v>50</v>
      </c>
      <c r="B36" s="10" t="s">
        <v>52</v>
      </c>
      <c r="C36" s="10" t="s">
        <v>69</v>
      </c>
      <c r="D36" s="10" t="str">
        <f t="shared" si="0"/>
        <v>PL</v>
      </c>
      <c r="E36" s="10" t="str">
        <f t="shared" si="1"/>
        <v>JS</v>
      </c>
      <c r="F36" s="10" t="str">
        <f t="shared" si="2"/>
        <v>UT</v>
      </c>
      <c r="G36" s="10" t="str">
        <f t="shared" si="3"/>
        <v>PL-JS-UT-</v>
      </c>
      <c r="H36" s="19">
        <f t="shared" si="4"/>
        <v>1</v>
      </c>
      <c r="M36" s="10" t="s">
        <v>95</v>
      </c>
      <c r="N36" s="10" t="s">
        <v>323</v>
      </c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8.600000000000001" customHeight="1" x14ac:dyDescent="0.45">
      <c r="A37" s="10" t="s">
        <v>50</v>
      </c>
      <c r="B37" s="10" t="s">
        <v>52</v>
      </c>
      <c r="C37" s="10" t="s">
        <v>70</v>
      </c>
      <c r="D37" s="10" t="str">
        <f t="shared" si="0"/>
        <v>PL</v>
      </c>
      <c r="E37" s="10" t="str">
        <f t="shared" si="1"/>
        <v>JS</v>
      </c>
      <c r="F37" s="10" t="str">
        <f t="shared" si="2"/>
        <v>IT</v>
      </c>
      <c r="G37" s="10" t="str">
        <f t="shared" si="3"/>
        <v>PL-JS-IT-</v>
      </c>
      <c r="H37" s="19">
        <f t="shared" si="4"/>
        <v>1</v>
      </c>
      <c r="M37" s="10" t="s">
        <v>96</v>
      </c>
      <c r="N37" s="10" t="s">
        <v>194</v>
      </c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8.600000000000001" customHeight="1" x14ac:dyDescent="0.45">
      <c r="A38" s="10" t="s">
        <v>50</v>
      </c>
      <c r="B38" s="10" t="s">
        <v>52</v>
      </c>
      <c r="C38" s="10" t="s">
        <v>71</v>
      </c>
      <c r="D38" s="10" t="str">
        <f t="shared" si="0"/>
        <v>PL</v>
      </c>
      <c r="E38" s="10" t="str">
        <f t="shared" si="1"/>
        <v>JS</v>
      </c>
      <c r="F38" s="10" t="str">
        <f t="shared" si="2"/>
        <v>MK</v>
      </c>
      <c r="G38" s="10" t="str">
        <f t="shared" si="3"/>
        <v>PL-JS-MK-</v>
      </c>
      <c r="H38" s="19">
        <f t="shared" si="4"/>
        <v>1</v>
      </c>
      <c r="M38" s="10" t="s">
        <v>97</v>
      </c>
      <c r="N38" s="10" t="s">
        <v>324</v>
      </c>
    </row>
    <row r="39" spans="1:26" ht="18.600000000000001" customHeight="1" x14ac:dyDescent="0.45">
      <c r="A39" s="10" t="s">
        <v>50</v>
      </c>
      <c r="B39" s="10" t="s">
        <v>52</v>
      </c>
      <c r="C39" s="10" t="s">
        <v>72</v>
      </c>
      <c r="D39" s="10" t="str">
        <f t="shared" si="0"/>
        <v>PL</v>
      </c>
      <c r="E39" s="10" t="str">
        <f t="shared" si="1"/>
        <v>JS</v>
      </c>
      <c r="F39" s="10" t="str">
        <f t="shared" si="2"/>
        <v>OP</v>
      </c>
      <c r="G39" s="10" t="str">
        <f t="shared" si="3"/>
        <v>PL-JS-OP-</v>
      </c>
      <c r="H39" s="19">
        <f t="shared" si="4"/>
        <v>1</v>
      </c>
      <c r="M39" s="10" t="s">
        <v>98</v>
      </c>
      <c r="N39" s="10" t="s">
        <v>325</v>
      </c>
    </row>
    <row r="40" spans="1:26" ht="18.600000000000001" customHeight="1" x14ac:dyDescent="0.45">
      <c r="A40" s="10" t="s">
        <v>50</v>
      </c>
      <c r="B40" s="10" t="s">
        <v>52</v>
      </c>
      <c r="C40" s="10" t="s">
        <v>73</v>
      </c>
      <c r="D40" s="10" t="str">
        <f t="shared" si="0"/>
        <v>PL</v>
      </c>
      <c r="E40" s="10" t="str">
        <f t="shared" si="1"/>
        <v>JS</v>
      </c>
      <c r="F40" s="10" t="str">
        <f t="shared" si="2"/>
        <v>MM</v>
      </c>
      <c r="G40" s="10" t="str">
        <f t="shared" si="3"/>
        <v>PL-JS-MM-</v>
      </c>
      <c r="H40" s="19">
        <f t="shared" si="4"/>
        <v>1</v>
      </c>
      <c r="M40" s="10" t="s">
        <v>99</v>
      </c>
      <c r="N40" s="10" t="s">
        <v>308</v>
      </c>
    </row>
    <row r="41" spans="1:26" ht="18.600000000000001" customHeight="1" x14ac:dyDescent="0.45">
      <c r="A41" s="10" t="s">
        <v>50</v>
      </c>
      <c r="B41" s="10" t="s">
        <v>52</v>
      </c>
      <c r="C41" s="10" t="s">
        <v>74</v>
      </c>
      <c r="D41" s="10" t="str">
        <f t="shared" si="0"/>
        <v>PL</v>
      </c>
      <c r="E41" s="10" t="str">
        <f t="shared" si="1"/>
        <v>JS</v>
      </c>
      <c r="F41" s="10" t="str">
        <f t="shared" si="2"/>
        <v>TM</v>
      </c>
      <c r="G41" s="10" t="str">
        <f t="shared" si="3"/>
        <v>PL-JS-TM-</v>
      </c>
      <c r="H41" s="19">
        <f t="shared" si="4"/>
        <v>1</v>
      </c>
      <c r="M41" s="10" t="s">
        <v>100</v>
      </c>
      <c r="N41" s="10" t="s">
        <v>326</v>
      </c>
    </row>
    <row r="42" spans="1:26" ht="18.600000000000001" customHeight="1" x14ac:dyDescent="0.45">
      <c r="A42" s="10" t="s">
        <v>50</v>
      </c>
      <c r="B42" s="10" t="s">
        <v>52</v>
      </c>
      <c r="C42" s="10" t="s">
        <v>75</v>
      </c>
      <c r="D42" s="10" t="str">
        <f t="shared" si="0"/>
        <v>PL</v>
      </c>
      <c r="E42" s="10" t="str">
        <f t="shared" si="1"/>
        <v>JS</v>
      </c>
      <c r="F42" s="10" t="str">
        <f t="shared" si="2"/>
        <v>EX</v>
      </c>
      <c r="G42" s="10" t="str">
        <f t="shared" si="3"/>
        <v>PL-JS-EX-</v>
      </c>
      <c r="H42" s="19">
        <f t="shared" si="4"/>
        <v>1</v>
      </c>
      <c r="M42" s="10" t="s">
        <v>101</v>
      </c>
      <c r="N42" s="10" t="s">
        <v>327</v>
      </c>
    </row>
    <row r="43" spans="1:26" ht="18.600000000000001" customHeight="1" x14ac:dyDescent="0.45">
      <c r="A43" s="10" t="s">
        <v>50</v>
      </c>
      <c r="B43" s="10" t="s">
        <v>52</v>
      </c>
      <c r="C43" s="10" t="s">
        <v>76</v>
      </c>
      <c r="D43" s="10" t="str">
        <f t="shared" si="0"/>
        <v>PL</v>
      </c>
      <c r="E43" s="10" t="str">
        <f t="shared" si="1"/>
        <v>JS</v>
      </c>
      <c r="F43" s="10" t="str">
        <f t="shared" si="2"/>
        <v>LG</v>
      </c>
      <c r="G43" s="10" t="str">
        <f t="shared" si="3"/>
        <v>PL-JS-LG-</v>
      </c>
      <c r="H43" s="19">
        <f t="shared" si="4"/>
        <v>1</v>
      </c>
      <c r="M43" s="10" t="s">
        <v>102</v>
      </c>
      <c r="N43" s="10" t="s">
        <v>328</v>
      </c>
    </row>
    <row r="44" spans="1:26" ht="18.600000000000001" customHeight="1" x14ac:dyDescent="0.45">
      <c r="A44" s="10" t="s">
        <v>302</v>
      </c>
      <c r="B44" s="10" t="s">
        <v>372</v>
      </c>
      <c r="C44" s="10"/>
      <c r="D44" s="10" t="str">
        <f t="shared" si="0"/>
        <v>BT</v>
      </c>
      <c r="E44" s="10" t="str">
        <f t="shared" si="1"/>
        <v>DM</v>
      </c>
      <c r="F44" s="10"/>
      <c r="G44" s="10" t="str">
        <f t="shared" si="3"/>
        <v>BT-DM-</v>
      </c>
      <c r="H44" s="19">
        <f t="shared" si="4"/>
        <v>1</v>
      </c>
      <c r="M44" s="10" t="s">
        <v>103</v>
      </c>
      <c r="N44" s="10" t="s">
        <v>196</v>
      </c>
    </row>
    <row r="45" spans="1:26" ht="18.600000000000001" customHeight="1" x14ac:dyDescent="0.45">
      <c r="A45" s="10" t="s">
        <v>302</v>
      </c>
      <c r="B45" s="10" t="s">
        <v>373</v>
      </c>
      <c r="C45" s="10"/>
      <c r="D45" s="10" t="str">
        <f t="shared" si="0"/>
        <v>BT</v>
      </c>
      <c r="E45" s="10" t="str">
        <f t="shared" si="1"/>
        <v>AM</v>
      </c>
      <c r="F45" s="10"/>
      <c r="G45" s="10" t="str">
        <f t="shared" si="3"/>
        <v>BT-AM-</v>
      </c>
      <c r="H45" s="19">
        <f t="shared" si="4"/>
        <v>1</v>
      </c>
      <c r="M45" s="10" t="s">
        <v>104</v>
      </c>
      <c r="N45" s="10" t="s">
        <v>387</v>
      </c>
      <c r="O45">
        <f>COUNTIF(N2:N115,N45)</f>
        <v>1</v>
      </c>
    </row>
    <row r="46" spans="1:26" ht="18.600000000000001" customHeight="1" x14ac:dyDescent="0.45">
      <c r="A46" s="10" t="s">
        <v>302</v>
      </c>
      <c r="B46" s="10" t="s">
        <v>374</v>
      </c>
      <c r="C46" s="10"/>
      <c r="D46" s="10" t="str">
        <f t="shared" si="0"/>
        <v>BT</v>
      </c>
      <c r="E46" s="10" t="str">
        <f t="shared" si="1"/>
        <v>IT</v>
      </c>
      <c r="F46" s="10"/>
      <c r="G46" s="10" t="str">
        <f t="shared" si="3"/>
        <v>BT-IT-</v>
      </c>
      <c r="H46" s="19">
        <f t="shared" si="4"/>
        <v>1</v>
      </c>
      <c r="M46" s="10" t="s">
        <v>105</v>
      </c>
      <c r="N46" s="10" t="s">
        <v>329</v>
      </c>
    </row>
    <row r="47" spans="1:26" ht="18.600000000000001" customHeight="1" x14ac:dyDescent="0.45">
      <c r="A47" s="10" t="s">
        <v>302</v>
      </c>
      <c r="B47" s="10" t="s">
        <v>375</v>
      </c>
      <c r="C47" s="10"/>
      <c r="D47" s="10" t="str">
        <f t="shared" si="0"/>
        <v>BT</v>
      </c>
      <c r="E47" s="10" t="str">
        <f t="shared" si="1"/>
        <v>CT</v>
      </c>
      <c r="F47" s="10"/>
      <c r="G47" s="10" t="str">
        <f t="shared" si="3"/>
        <v>BT-CT-</v>
      </c>
      <c r="H47" s="19">
        <f t="shared" si="4"/>
        <v>1</v>
      </c>
      <c r="M47" s="10" t="s">
        <v>107</v>
      </c>
      <c r="N47" s="10" t="s">
        <v>216</v>
      </c>
    </row>
    <row r="48" spans="1:26" ht="18.600000000000001" customHeight="1" x14ac:dyDescent="0.45">
      <c r="A48" s="10" t="s">
        <v>302</v>
      </c>
      <c r="B48" s="10" t="s">
        <v>376</v>
      </c>
      <c r="C48" s="10"/>
      <c r="D48" s="10" t="str">
        <f t="shared" si="0"/>
        <v>BT</v>
      </c>
      <c r="E48" s="10" t="str">
        <f t="shared" si="1"/>
        <v>MC</v>
      </c>
      <c r="F48" s="10"/>
      <c r="G48" s="10" t="str">
        <f t="shared" si="3"/>
        <v>BT-MC-</v>
      </c>
      <c r="H48" s="19">
        <f t="shared" si="4"/>
        <v>1</v>
      </c>
      <c r="M48" s="10" t="s">
        <v>108</v>
      </c>
      <c r="N48" s="10" t="s">
        <v>330</v>
      </c>
    </row>
    <row r="49" spans="1:14" ht="18.600000000000001" customHeight="1" x14ac:dyDescent="0.45">
      <c r="A49" s="10" t="s">
        <v>302</v>
      </c>
      <c r="B49" s="10" t="s">
        <v>377</v>
      </c>
      <c r="C49" s="10"/>
      <c r="D49" s="10" t="str">
        <f t="shared" si="0"/>
        <v>BT</v>
      </c>
      <c r="E49" s="10" t="str">
        <f t="shared" si="1"/>
        <v>AP</v>
      </c>
      <c r="F49" s="10"/>
      <c r="G49" s="10" t="str">
        <f t="shared" si="3"/>
        <v>BT-AP-</v>
      </c>
      <c r="H49" s="19">
        <f t="shared" si="4"/>
        <v>1</v>
      </c>
      <c r="M49" s="10" t="s">
        <v>109</v>
      </c>
      <c r="N49" s="10" t="s">
        <v>331</v>
      </c>
    </row>
    <row r="50" spans="1:14" ht="18.600000000000001" customHeight="1" x14ac:dyDescent="0.45">
      <c r="A50" s="10" t="s">
        <v>302</v>
      </c>
      <c r="B50" s="10" t="s">
        <v>378</v>
      </c>
      <c r="C50" s="10"/>
      <c r="D50" s="10" t="str">
        <f t="shared" si="0"/>
        <v>BT</v>
      </c>
      <c r="E50" s="10" t="str">
        <f t="shared" si="1"/>
        <v>DS</v>
      </c>
      <c r="F50" s="10"/>
      <c r="G50" s="10" t="str">
        <f t="shared" si="3"/>
        <v>BT-DS-</v>
      </c>
      <c r="H50" s="19">
        <f t="shared" si="4"/>
        <v>1</v>
      </c>
      <c r="M50" s="10" t="s">
        <v>110</v>
      </c>
      <c r="N50" s="10" t="s">
        <v>209</v>
      </c>
    </row>
    <row r="51" spans="1:14" ht="18.600000000000001" customHeight="1" x14ac:dyDescent="0.45">
      <c r="A51" s="10" t="s">
        <v>302</v>
      </c>
      <c r="B51" s="10" t="s">
        <v>379</v>
      </c>
      <c r="C51" s="10"/>
      <c r="D51" s="10" t="str">
        <f t="shared" si="0"/>
        <v>BT</v>
      </c>
      <c r="E51" s="10" t="str">
        <f t="shared" si="1"/>
        <v>AL</v>
      </c>
      <c r="F51" s="10"/>
      <c r="G51" s="10" t="str">
        <f t="shared" si="3"/>
        <v>BT-AL-</v>
      </c>
      <c r="H51" s="19">
        <f t="shared" si="4"/>
        <v>1</v>
      </c>
      <c r="M51" s="10" t="s">
        <v>111</v>
      </c>
      <c r="N51" s="10" t="s">
        <v>332</v>
      </c>
    </row>
    <row r="52" spans="1:14" ht="18.600000000000001" customHeight="1" x14ac:dyDescent="0.45">
      <c r="A52" s="10" t="s">
        <v>302</v>
      </c>
      <c r="B52" s="10" t="s">
        <v>380</v>
      </c>
      <c r="C52" s="10"/>
      <c r="D52" s="10" t="str">
        <f t="shared" si="0"/>
        <v>BT</v>
      </c>
      <c r="E52" s="10" t="str">
        <f t="shared" si="1"/>
        <v>PG</v>
      </c>
      <c r="F52" s="10"/>
      <c r="G52" s="10" t="str">
        <f t="shared" si="3"/>
        <v>BT-PG-</v>
      </c>
      <c r="H52" s="19">
        <f t="shared" si="4"/>
        <v>1</v>
      </c>
      <c r="M52" s="10" t="s">
        <v>112</v>
      </c>
      <c r="N52" s="10" t="s">
        <v>201</v>
      </c>
    </row>
    <row r="53" spans="1:14" ht="18.600000000000001" customHeight="1" x14ac:dyDescent="0.45">
      <c r="A53" s="10" t="s">
        <v>302</v>
      </c>
      <c r="B53" s="10" t="s">
        <v>381</v>
      </c>
      <c r="C53" s="10"/>
      <c r="D53" s="10" t="str">
        <f t="shared" si="0"/>
        <v>BT</v>
      </c>
      <c r="E53" s="10" t="str">
        <f t="shared" si="1"/>
        <v>PL</v>
      </c>
      <c r="F53" s="10"/>
      <c r="G53" s="10" t="str">
        <f t="shared" si="3"/>
        <v>BT-PL-</v>
      </c>
      <c r="H53" s="19">
        <f t="shared" si="4"/>
        <v>1</v>
      </c>
      <c r="M53" s="10" t="s">
        <v>113</v>
      </c>
      <c r="N53" s="10" t="s">
        <v>315</v>
      </c>
    </row>
    <row r="54" spans="1:14" ht="18.600000000000001" customHeight="1" x14ac:dyDescent="0.45">
      <c r="A54" s="10" t="s">
        <v>302</v>
      </c>
      <c r="B54" s="10" t="s">
        <v>382</v>
      </c>
      <c r="C54" s="10"/>
      <c r="D54" s="10" t="str">
        <f t="shared" si="0"/>
        <v>BT</v>
      </c>
      <c r="E54" s="10" t="str">
        <f t="shared" si="1"/>
        <v>OL</v>
      </c>
      <c r="F54" s="10"/>
      <c r="G54" s="10" t="str">
        <f t="shared" si="3"/>
        <v>BT-OL-</v>
      </c>
      <c r="H54" s="19">
        <f t="shared" si="4"/>
        <v>1</v>
      </c>
      <c r="M54" s="10" t="s">
        <v>114</v>
      </c>
      <c r="N54" s="10" t="s">
        <v>333</v>
      </c>
    </row>
    <row r="55" spans="1:14" ht="18.600000000000001" customHeight="1" x14ac:dyDescent="0.45">
      <c r="A55" s="10" t="s">
        <v>303</v>
      </c>
      <c r="B55" s="10" t="s">
        <v>226</v>
      </c>
      <c r="C55" s="10"/>
      <c r="D55" s="10" t="str">
        <f t="shared" si="0"/>
        <v>CS</v>
      </c>
      <c r="E55" s="10" t="str">
        <f t="shared" si="1"/>
        <v>CH</v>
      </c>
      <c r="F55" s="10"/>
      <c r="G55" s="10" t="str">
        <f t="shared" si="3"/>
        <v>CS-CH-</v>
      </c>
      <c r="H55" s="19">
        <f t="shared" si="4"/>
        <v>1</v>
      </c>
      <c r="M55" s="10" t="s">
        <v>115</v>
      </c>
      <c r="N55" s="10" t="s">
        <v>334</v>
      </c>
    </row>
    <row r="56" spans="1:14" ht="18.600000000000001" customHeight="1" x14ac:dyDescent="0.45">
      <c r="A56" s="10" t="s">
        <v>303</v>
      </c>
      <c r="B56" s="10" t="s">
        <v>227</v>
      </c>
      <c r="C56" s="10"/>
      <c r="D56" s="10" t="str">
        <f t="shared" si="0"/>
        <v>CS</v>
      </c>
      <c r="E56" s="10" t="str">
        <f t="shared" si="1"/>
        <v>PR</v>
      </c>
      <c r="F56" s="10"/>
      <c r="G56" s="10" t="str">
        <f t="shared" si="3"/>
        <v>CS-PR-</v>
      </c>
      <c r="H56" s="19">
        <f t="shared" si="4"/>
        <v>1</v>
      </c>
      <c r="M56" s="10" t="s">
        <v>116</v>
      </c>
      <c r="N56" s="10" t="s">
        <v>335</v>
      </c>
    </row>
    <row r="57" spans="1:14" ht="18.600000000000001" customHeight="1" x14ac:dyDescent="0.45">
      <c r="A57" s="10" t="s">
        <v>303</v>
      </c>
      <c r="B57" s="10" t="s">
        <v>228</v>
      </c>
      <c r="C57" s="10"/>
      <c r="D57" s="10" t="str">
        <f t="shared" si="0"/>
        <v>CS</v>
      </c>
      <c r="E57" s="10" t="str">
        <f t="shared" si="1"/>
        <v>ME</v>
      </c>
      <c r="F57" s="10"/>
      <c r="G57" s="10" t="str">
        <f t="shared" si="3"/>
        <v>CS-ME-</v>
      </c>
      <c r="H57" s="19">
        <f t="shared" si="4"/>
        <v>1</v>
      </c>
      <c r="M57" s="10" t="s">
        <v>371</v>
      </c>
      <c r="N57" s="10" t="s">
        <v>191</v>
      </c>
    </row>
    <row r="58" spans="1:14" ht="18.600000000000001" customHeight="1" x14ac:dyDescent="0.45">
      <c r="A58" s="10" t="s">
        <v>303</v>
      </c>
      <c r="B58" s="10" t="s">
        <v>229</v>
      </c>
      <c r="C58" s="10"/>
      <c r="D58" s="10" t="str">
        <f t="shared" si="0"/>
        <v>CS</v>
      </c>
      <c r="E58" s="10" t="str">
        <f t="shared" si="1"/>
        <v>BU</v>
      </c>
      <c r="F58" s="10"/>
      <c r="G58" s="10" t="str">
        <f t="shared" si="3"/>
        <v>CS-BU-</v>
      </c>
      <c r="H58" s="19">
        <f t="shared" si="4"/>
        <v>1</v>
      </c>
      <c r="M58" s="10" t="s">
        <v>120</v>
      </c>
      <c r="N58" s="10" t="s">
        <v>217</v>
      </c>
    </row>
    <row r="59" spans="1:14" ht="18.600000000000001" customHeight="1" x14ac:dyDescent="0.45">
      <c r="A59" s="10" t="s">
        <v>303</v>
      </c>
      <c r="B59" s="10" t="s">
        <v>230</v>
      </c>
      <c r="C59" s="10"/>
      <c r="D59" s="10" t="str">
        <f t="shared" si="0"/>
        <v>CS</v>
      </c>
      <c r="E59" s="10" t="str">
        <f t="shared" si="1"/>
        <v>ID</v>
      </c>
      <c r="F59" s="10"/>
      <c r="G59" s="10" t="str">
        <f t="shared" si="3"/>
        <v>CS-ID-</v>
      </c>
      <c r="H59" s="19">
        <f t="shared" si="4"/>
        <v>1</v>
      </c>
      <c r="M59" s="10" t="s">
        <v>121</v>
      </c>
      <c r="N59" s="10" t="s">
        <v>336</v>
      </c>
    </row>
    <row r="60" spans="1:14" ht="18.600000000000001" customHeight="1" x14ac:dyDescent="0.45">
      <c r="A60" s="10" t="s">
        <v>303</v>
      </c>
      <c r="B60" s="10" t="s">
        <v>231</v>
      </c>
      <c r="C60" s="10"/>
      <c r="D60" s="10" t="str">
        <f t="shared" si="0"/>
        <v>CS</v>
      </c>
      <c r="E60" s="10" t="str">
        <f t="shared" si="1"/>
        <v>IO</v>
      </c>
      <c r="F60" s="10"/>
      <c r="G60" s="10" t="str">
        <f t="shared" si="3"/>
        <v>CS-IO-</v>
      </c>
      <c r="H60" s="19">
        <f t="shared" si="4"/>
        <v>1</v>
      </c>
      <c r="M60" s="10" t="s">
        <v>122</v>
      </c>
      <c r="N60" s="10" t="s">
        <v>337</v>
      </c>
    </row>
    <row r="61" spans="1:14" ht="18.600000000000001" customHeight="1" x14ac:dyDescent="0.45">
      <c r="A61" s="10" t="s">
        <v>303</v>
      </c>
      <c r="B61" s="10" t="s">
        <v>232</v>
      </c>
      <c r="C61" s="10"/>
      <c r="D61" s="10" t="str">
        <f t="shared" si="0"/>
        <v>CS</v>
      </c>
      <c r="E61" s="10" t="str">
        <f t="shared" si="1"/>
        <v>SY</v>
      </c>
      <c r="F61" s="10"/>
      <c r="G61" s="10" t="str">
        <f t="shared" si="3"/>
        <v>CS-SY-</v>
      </c>
      <c r="H61" s="19">
        <f t="shared" si="4"/>
        <v>1</v>
      </c>
      <c r="M61" s="10" t="s">
        <v>123</v>
      </c>
      <c r="N61" s="10" t="s">
        <v>338</v>
      </c>
    </row>
    <row r="62" spans="1:14" ht="18.600000000000001" customHeight="1" x14ac:dyDescent="0.45">
      <c r="A62" s="10" t="s">
        <v>303</v>
      </c>
      <c r="B62" s="10" t="s">
        <v>233</v>
      </c>
      <c r="C62" s="10"/>
      <c r="D62" s="10" t="str">
        <f t="shared" si="0"/>
        <v>CS</v>
      </c>
      <c r="E62" s="10" t="str">
        <f t="shared" si="1"/>
        <v>SC</v>
      </c>
      <c r="F62" s="10"/>
      <c r="G62" s="10" t="str">
        <f t="shared" si="3"/>
        <v>CS-SC-</v>
      </c>
      <c r="H62" s="19">
        <f t="shared" si="4"/>
        <v>1</v>
      </c>
      <c r="M62" s="10" t="s">
        <v>124</v>
      </c>
      <c r="N62" s="10" t="s">
        <v>339</v>
      </c>
    </row>
    <row r="63" spans="1:14" ht="18.600000000000001" customHeight="1" x14ac:dyDescent="0.45">
      <c r="A63" s="10" t="s">
        <v>303</v>
      </c>
      <c r="B63" s="10" t="s">
        <v>234</v>
      </c>
      <c r="C63" s="10"/>
      <c r="D63" s="10" t="str">
        <f t="shared" si="0"/>
        <v>CS</v>
      </c>
      <c r="E63" s="10" t="str">
        <f t="shared" si="1"/>
        <v>EM</v>
      </c>
      <c r="F63" s="10"/>
      <c r="G63" s="10" t="str">
        <f t="shared" si="3"/>
        <v>CS-EM-</v>
      </c>
      <c r="H63" s="19">
        <f t="shared" si="4"/>
        <v>1</v>
      </c>
      <c r="M63" s="10" t="s">
        <v>126</v>
      </c>
      <c r="N63" s="10" t="s">
        <v>221</v>
      </c>
    </row>
    <row r="64" spans="1:14" ht="18.600000000000001" customHeight="1" x14ac:dyDescent="0.45">
      <c r="A64" s="10" t="s">
        <v>303</v>
      </c>
      <c r="B64" s="10" t="s">
        <v>235</v>
      </c>
      <c r="C64" s="10"/>
      <c r="D64" s="10" t="str">
        <f t="shared" si="0"/>
        <v>CS</v>
      </c>
      <c r="E64" s="10" t="str">
        <f t="shared" si="1"/>
        <v>SW</v>
      </c>
      <c r="F64" s="10"/>
      <c r="G64" s="10" t="str">
        <f t="shared" si="3"/>
        <v>CS-SW-</v>
      </c>
      <c r="H64" s="19">
        <f t="shared" si="4"/>
        <v>1</v>
      </c>
      <c r="M64" s="10" t="s">
        <v>127</v>
      </c>
      <c r="N64" s="10" t="s">
        <v>340</v>
      </c>
    </row>
    <row r="65" spans="1:14" ht="18.600000000000001" customHeight="1" x14ac:dyDescent="0.45">
      <c r="A65" s="10" t="s">
        <v>303</v>
      </c>
      <c r="B65" s="10" t="s">
        <v>236</v>
      </c>
      <c r="C65" s="10"/>
      <c r="D65" s="10" t="str">
        <f t="shared" si="0"/>
        <v>CS</v>
      </c>
      <c r="E65" s="10" t="str">
        <f t="shared" si="1"/>
        <v>OS</v>
      </c>
      <c r="F65" s="10"/>
      <c r="G65" s="10" t="str">
        <f t="shared" si="3"/>
        <v>CS-OS-</v>
      </c>
      <c r="H65" s="19">
        <f t="shared" si="4"/>
        <v>1</v>
      </c>
      <c r="M65" s="10" t="s">
        <v>128</v>
      </c>
      <c r="N65" s="10" t="s">
        <v>223</v>
      </c>
    </row>
    <row r="66" spans="1:14" ht="18.600000000000001" customHeight="1" x14ac:dyDescent="0.45">
      <c r="A66" s="10" t="s">
        <v>303</v>
      </c>
      <c r="B66" s="10" t="s">
        <v>237</v>
      </c>
      <c r="C66" s="10"/>
      <c r="D66" s="10" t="str">
        <f t="shared" si="0"/>
        <v>CS</v>
      </c>
      <c r="E66" s="10" t="str">
        <f t="shared" si="1"/>
        <v>MW</v>
      </c>
      <c r="F66" s="10"/>
      <c r="G66" s="10" t="str">
        <f t="shared" si="3"/>
        <v>CS-MW-</v>
      </c>
      <c r="H66" s="19">
        <f t="shared" si="4"/>
        <v>1</v>
      </c>
      <c r="M66" s="10" t="s">
        <v>129</v>
      </c>
      <c r="N66" s="10" t="s">
        <v>341</v>
      </c>
    </row>
    <row r="67" spans="1:14" ht="18.600000000000001" customHeight="1" x14ac:dyDescent="0.45">
      <c r="A67" s="10" t="s">
        <v>303</v>
      </c>
      <c r="B67" s="10" t="s">
        <v>238</v>
      </c>
      <c r="C67" s="10"/>
      <c r="D67" s="10" t="str">
        <f t="shared" ref="D67:D130" si="5">IFERROR(VLOOKUP(A67,$J$2:$K$19,2,FALSE),"")</f>
        <v>CS</v>
      </c>
      <c r="E67" s="10" t="str">
        <f t="shared" ref="E67:E130" si="6">IFERROR(VLOOKUP(B67,$M$2:$N$115,2,FALSE),"")</f>
        <v>FS</v>
      </c>
      <c r="F67" s="10"/>
      <c r="G67" s="10" t="str">
        <f t="shared" ref="G67:G130" si="7">IF(D67="","",IF(F67="",D67&amp;"-"&amp;E67&amp;"-",D67&amp;"-"&amp;E67&amp;"-"&amp;F67&amp;"-"))</f>
        <v>CS-FS-</v>
      </c>
      <c r="H67" s="19">
        <f t="shared" ref="H67:H130" si="8">IF(G67="","",COUNTIF($G$2:$G$190,G67))</f>
        <v>1</v>
      </c>
      <c r="M67" s="10" t="s">
        <v>383</v>
      </c>
      <c r="N67" s="10" t="s">
        <v>342</v>
      </c>
    </row>
    <row r="68" spans="1:14" ht="18.600000000000001" customHeight="1" x14ac:dyDescent="0.45">
      <c r="A68" s="10" t="s">
        <v>303</v>
      </c>
      <c r="B68" s="10" t="s">
        <v>239</v>
      </c>
      <c r="C68" s="10"/>
      <c r="D68" s="10" t="str">
        <f t="shared" si="5"/>
        <v>CS</v>
      </c>
      <c r="E68" s="10" t="str">
        <f t="shared" si="6"/>
        <v>DT</v>
      </c>
      <c r="F68" s="10"/>
      <c r="G68" s="10" t="str">
        <f t="shared" si="7"/>
        <v>CS-DT-</v>
      </c>
      <c r="H68" s="19">
        <f t="shared" si="8"/>
        <v>1</v>
      </c>
      <c r="M68" s="10" t="s">
        <v>132</v>
      </c>
      <c r="N68" s="10" t="s">
        <v>343</v>
      </c>
    </row>
    <row r="69" spans="1:14" ht="18.600000000000001" customHeight="1" x14ac:dyDescent="0.45">
      <c r="A69" s="10" t="s">
        <v>303</v>
      </c>
      <c r="B69" s="10" t="s">
        <v>240</v>
      </c>
      <c r="C69" s="10"/>
      <c r="D69" s="10" t="str">
        <f t="shared" si="5"/>
        <v>CS</v>
      </c>
      <c r="E69" s="10" t="str">
        <f t="shared" si="6"/>
        <v>OP</v>
      </c>
      <c r="F69" s="10"/>
      <c r="G69" s="10" t="str">
        <f t="shared" si="7"/>
        <v>CS-OP-</v>
      </c>
      <c r="H69" s="19">
        <f t="shared" si="8"/>
        <v>1</v>
      </c>
      <c r="M69" s="10" t="s">
        <v>133</v>
      </c>
      <c r="N69" s="10" t="s">
        <v>193</v>
      </c>
    </row>
    <row r="70" spans="1:14" ht="18.600000000000001" customHeight="1" x14ac:dyDescent="0.45">
      <c r="A70" s="10" t="s">
        <v>303</v>
      </c>
      <c r="B70" s="10" t="s">
        <v>241</v>
      </c>
      <c r="C70" s="10"/>
      <c r="D70" s="10" t="str">
        <f t="shared" si="5"/>
        <v>CS</v>
      </c>
      <c r="E70" s="10" t="str">
        <f t="shared" si="6"/>
        <v>HW</v>
      </c>
      <c r="F70" s="10"/>
      <c r="G70" s="10" t="str">
        <f t="shared" si="7"/>
        <v>CS-HW-</v>
      </c>
      <c r="H70" s="19">
        <f t="shared" si="8"/>
        <v>1</v>
      </c>
      <c r="M70" s="10" t="s">
        <v>134</v>
      </c>
      <c r="N70" s="10" t="s">
        <v>331</v>
      </c>
    </row>
    <row r="71" spans="1:14" ht="18.600000000000001" customHeight="1" x14ac:dyDescent="0.45">
      <c r="A71" s="10" t="s">
        <v>242</v>
      </c>
      <c r="B71" s="10" t="s">
        <v>243</v>
      </c>
      <c r="C71" s="10"/>
      <c r="D71" s="10" t="str">
        <f t="shared" si="5"/>
        <v>UI</v>
      </c>
      <c r="E71" s="10" t="str">
        <f t="shared" si="6"/>
        <v>UI</v>
      </c>
      <c r="F71" s="10"/>
      <c r="G71" s="10" t="str">
        <f t="shared" si="7"/>
        <v>UI-UI-</v>
      </c>
      <c r="H71" s="19">
        <f t="shared" si="8"/>
        <v>1</v>
      </c>
      <c r="M71" s="10" t="s">
        <v>135</v>
      </c>
      <c r="N71" s="10" t="s">
        <v>206</v>
      </c>
    </row>
    <row r="72" spans="1:14" ht="18.600000000000001" customHeight="1" x14ac:dyDescent="0.45">
      <c r="A72" s="10" t="s">
        <v>242</v>
      </c>
      <c r="B72" s="10" t="s">
        <v>244</v>
      </c>
      <c r="C72" s="10"/>
      <c r="D72" s="10" t="str">
        <f t="shared" si="5"/>
        <v>UI</v>
      </c>
      <c r="E72" s="10" t="str">
        <f t="shared" si="6"/>
        <v>UX</v>
      </c>
      <c r="F72" s="10"/>
      <c r="G72" s="10" t="str">
        <f t="shared" si="7"/>
        <v>UI-UX-</v>
      </c>
      <c r="H72" s="19">
        <f t="shared" si="8"/>
        <v>1</v>
      </c>
      <c r="M72" s="10" t="s">
        <v>136</v>
      </c>
      <c r="N72" s="10" t="s">
        <v>344</v>
      </c>
    </row>
    <row r="73" spans="1:14" ht="18.600000000000001" customHeight="1" x14ac:dyDescent="0.45">
      <c r="A73" s="10" t="s">
        <v>242</v>
      </c>
      <c r="B73" s="10" t="s">
        <v>245</v>
      </c>
      <c r="C73" s="10"/>
      <c r="D73" s="10" t="str">
        <f t="shared" si="5"/>
        <v>UI</v>
      </c>
      <c r="E73" s="10" t="str">
        <f t="shared" si="6"/>
        <v>IM</v>
      </c>
      <c r="F73" s="10"/>
      <c r="G73" s="10" t="str">
        <f t="shared" si="7"/>
        <v>UI-IM-</v>
      </c>
      <c r="H73" s="19">
        <f t="shared" si="8"/>
        <v>1</v>
      </c>
      <c r="M73" s="10" t="s">
        <v>137</v>
      </c>
      <c r="N73" s="10" t="s">
        <v>332</v>
      </c>
    </row>
    <row r="74" spans="1:14" ht="18.600000000000001" customHeight="1" x14ac:dyDescent="0.45">
      <c r="A74" s="10" t="s">
        <v>242</v>
      </c>
      <c r="B74" s="10" t="s">
        <v>246</v>
      </c>
      <c r="C74" s="10"/>
      <c r="D74" s="10" t="str">
        <f t="shared" si="5"/>
        <v>UI</v>
      </c>
      <c r="E74" s="10" t="str">
        <f t="shared" si="6"/>
        <v>MM</v>
      </c>
      <c r="F74" s="10"/>
      <c r="G74" s="10" t="str">
        <f t="shared" si="7"/>
        <v>UI-MM-</v>
      </c>
      <c r="H74" s="19">
        <f t="shared" si="8"/>
        <v>1</v>
      </c>
      <c r="M74" s="10" t="s">
        <v>139</v>
      </c>
      <c r="N74" s="10" t="s">
        <v>345</v>
      </c>
    </row>
    <row r="75" spans="1:14" ht="18.600000000000001" customHeight="1" x14ac:dyDescent="0.45">
      <c r="A75" s="10" t="s">
        <v>242</v>
      </c>
      <c r="B75" s="10" t="s">
        <v>247</v>
      </c>
      <c r="C75" s="10"/>
      <c r="D75" s="10" t="str">
        <f t="shared" si="5"/>
        <v>UI</v>
      </c>
      <c r="E75" s="10" t="str">
        <f t="shared" si="6"/>
        <v>MA</v>
      </c>
      <c r="F75" s="10"/>
      <c r="G75" s="10" t="str">
        <f t="shared" si="7"/>
        <v>UI-MA-</v>
      </c>
      <c r="H75" s="19">
        <f t="shared" si="8"/>
        <v>1</v>
      </c>
      <c r="M75" s="10" t="s">
        <v>140</v>
      </c>
      <c r="N75" s="10" t="s">
        <v>346</v>
      </c>
    </row>
    <row r="76" spans="1:14" ht="18.600000000000001" customHeight="1" x14ac:dyDescent="0.45">
      <c r="A76" s="10" t="s">
        <v>117</v>
      </c>
      <c r="B76" s="10" t="s">
        <v>248</v>
      </c>
      <c r="C76" s="10"/>
      <c r="D76" s="10" t="str">
        <f t="shared" si="5"/>
        <v>DB</v>
      </c>
      <c r="E76" s="10" t="str">
        <f t="shared" si="6"/>
        <v>DB</v>
      </c>
      <c r="F76" s="10"/>
      <c r="G76" s="10" t="str">
        <f t="shared" si="7"/>
        <v>DB-DB-</v>
      </c>
      <c r="H76" s="19">
        <f t="shared" si="8"/>
        <v>1</v>
      </c>
      <c r="M76" s="10" t="s">
        <v>141</v>
      </c>
      <c r="N76" s="10" t="s">
        <v>325</v>
      </c>
    </row>
    <row r="77" spans="1:14" ht="18.600000000000001" customHeight="1" x14ac:dyDescent="0.45">
      <c r="A77" s="10" t="s">
        <v>117</v>
      </c>
      <c r="B77" s="10" t="s">
        <v>249</v>
      </c>
      <c r="C77" s="10"/>
      <c r="D77" s="10" t="str">
        <f t="shared" si="5"/>
        <v>DB</v>
      </c>
      <c r="E77" s="10" t="str">
        <f t="shared" si="6"/>
        <v>DS</v>
      </c>
      <c r="F77" s="10"/>
      <c r="G77" s="10" t="str">
        <f t="shared" si="7"/>
        <v>DB-DS-</v>
      </c>
      <c r="H77" s="19">
        <f t="shared" si="8"/>
        <v>1</v>
      </c>
      <c r="M77" s="10" t="s">
        <v>142</v>
      </c>
      <c r="N77" s="10" t="s">
        <v>347</v>
      </c>
    </row>
    <row r="78" spans="1:14" ht="18.600000000000001" customHeight="1" x14ac:dyDescent="0.45">
      <c r="A78" s="10" t="s">
        <v>117</v>
      </c>
      <c r="B78" s="10" t="s">
        <v>250</v>
      </c>
      <c r="C78" s="10"/>
      <c r="D78" s="10" t="str">
        <f t="shared" si="5"/>
        <v>DB</v>
      </c>
      <c r="E78" s="10" t="str">
        <f t="shared" si="6"/>
        <v>DO</v>
      </c>
      <c r="F78" s="10"/>
      <c r="G78" s="10" t="str">
        <f t="shared" si="7"/>
        <v>DB-DO-</v>
      </c>
      <c r="H78" s="19">
        <f t="shared" si="8"/>
        <v>1</v>
      </c>
      <c r="M78" s="10" t="s">
        <v>143</v>
      </c>
      <c r="N78" s="10" t="s">
        <v>220</v>
      </c>
    </row>
    <row r="79" spans="1:14" ht="18.600000000000001" customHeight="1" x14ac:dyDescent="0.45">
      <c r="A79" s="10" t="s">
        <v>117</v>
      </c>
      <c r="B79" s="10" t="s">
        <v>251</v>
      </c>
      <c r="C79" s="10"/>
      <c r="D79" s="10" t="str">
        <f t="shared" si="5"/>
        <v>DB</v>
      </c>
      <c r="E79" s="10" t="str">
        <f t="shared" si="6"/>
        <v>TP</v>
      </c>
      <c r="F79" s="10"/>
      <c r="G79" s="10" t="str">
        <f t="shared" si="7"/>
        <v>DB-TP-</v>
      </c>
      <c r="H79" s="19">
        <f t="shared" si="8"/>
        <v>1</v>
      </c>
      <c r="M79" s="10" t="s">
        <v>144</v>
      </c>
      <c r="N79" s="10" t="s">
        <v>348</v>
      </c>
    </row>
    <row r="80" spans="1:14" ht="18.600000000000001" customHeight="1" x14ac:dyDescent="0.45">
      <c r="A80" s="10" t="s">
        <v>117</v>
      </c>
      <c r="B80" s="10" t="s">
        <v>252</v>
      </c>
      <c r="C80" s="10"/>
      <c r="D80" s="10" t="str">
        <f t="shared" si="5"/>
        <v>DB</v>
      </c>
      <c r="E80" s="10" t="str">
        <f t="shared" si="6"/>
        <v>DA</v>
      </c>
      <c r="F80" s="10"/>
      <c r="G80" s="10" t="str">
        <f t="shared" si="7"/>
        <v>DB-DA-</v>
      </c>
      <c r="H80" s="19">
        <f t="shared" si="8"/>
        <v>1</v>
      </c>
      <c r="M80" s="10" t="s">
        <v>145</v>
      </c>
      <c r="N80" s="10" t="s">
        <v>349</v>
      </c>
    </row>
    <row r="81" spans="1:14" ht="18.600000000000001" customHeight="1" x14ac:dyDescent="0.45">
      <c r="A81" s="10" t="s">
        <v>117</v>
      </c>
      <c r="B81" s="10" t="s">
        <v>118</v>
      </c>
      <c r="C81" s="10"/>
      <c r="D81" s="10" t="str">
        <f t="shared" si="5"/>
        <v>DB</v>
      </c>
      <c r="E81" s="10" t="str">
        <f t="shared" si="6"/>
        <v>SQ</v>
      </c>
      <c r="F81" s="10"/>
      <c r="G81" s="10" t="str">
        <f t="shared" si="7"/>
        <v>DB-SQ-</v>
      </c>
      <c r="H81" s="19">
        <f t="shared" si="8"/>
        <v>1</v>
      </c>
      <c r="M81" s="10" t="s">
        <v>146</v>
      </c>
      <c r="N81" s="10" t="s">
        <v>324</v>
      </c>
    </row>
    <row r="82" spans="1:14" ht="18.600000000000001" customHeight="1" x14ac:dyDescent="0.45">
      <c r="A82" s="10" t="s">
        <v>253</v>
      </c>
      <c r="B82" s="10" t="s">
        <v>254</v>
      </c>
      <c r="C82" s="10"/>
      <c r="D82" s="10" t="str">
        <f t="shared" si="5"/>
        <v>NW</v>
      </c>
      <c r="E82" s="10" t="str">
        <f t="shared" si="6"/>
        <v>NW</v>
      </c>
      <c r="F82" s="10"/>
      <c r="G82" s="10" t="str">
        <f t="shared" si="7"/>
        <v>NW-NW-</v>
      </c>
      <c r="H82" s="19">
        <f t="shared" si="8"/>
        <v>1</v>
      </c>
      <c r="M82" s="10" t="s">
        <v>147</v>
      </c>
      <c r="N82" s="10" t="s">
        <v>350</v>
      </c>
    </row>
    <row r="83" spans="1:14" ht="18.600000000000001" customHeight="1" x14ac:dyDescent="0.45">
      <c r="A83" s="10" t="s">
        <v>253</v>
      </c>
      <c r="B83" s="10" t="s">
        <v>255</v>
      </c>
      <c r="C83" s="10"/>
      <c r="D83" s="10" t="str">
        <f t="shared" si="5"/>
        <v>NW</v>
      </c>
      <c r="E83" s="10" t="str">
        <f t="shared" si="6"/>
        <v>DC</v>
      </c>
      <c r="F83" s="10"/>
      <c r="G83" s="10" t="str">
        <f t="shared" si="7"/>
        <v>NW-DC-</v>
      </c>
      <c r="H83" s="19">
        <f t="shared" si="8"/>
        <v>1</v>
      </c>
      <c r="M83" s="10" t="s">
        <v>148</v>
      </c>
      <c r="N83" s="10" t="s">
        <v>210</v>
      </c>
    </row>
    <row r="84" spans="1:14" ht="18.600000000000001" customHeight="1" x14ac:dyDescent="0.45">
      <c r="A84" s="10" t="s">
        <v>253</v>
      </c>
      <c r="B84" s="10" t="s">
        <v>256</v>
      </c>
      <c r="C84" s="10"/>
      <c r="D84" s="10" t="str">
        <f t="shared" si="5"/>
        <v>NW</v>
      </c>
      <c r="E84" s="10" t="str">
        <f t="shared" si="6"/>
        <v>CP</v>
      </c>
      <c r="F84" s="10"/>
      <c r="G84" s="10" t="str">
        <f t="shared" si="7"/>
        <v>NW-CP-</v>
      </c>
      <c r="H84" s="19">
        <f t="shared" si="8"/>
        <v>1</v>
      </c>
      <c r="M84" s="10" t="s">
        <v>149</v>
      </c>
      <c r="N84" s="10" t="s">
        <v>351</v>
      </c>
    </row>
    <row r="85" spans="1:14" ht="18.600000000000001" customHeight="1" x14ac:dyDescent="0.45">
      <c r="A85" s="10" t="s">
        <v>253</v>
      </c>
      <c r="B85" s="10" t="s">
        <v>257</v>
      </c>
      <c r="C85" s="10"/>
      <c r="D85" s="10" t="str">
        <f t="shared" si="5"/>
        <v>NW</v>
      </c>
      <c r="E85" s="10" t="str">
        <f t="shared" si="6"/>
        <v>NM</v>
      </c>
      <c r="F85" s="10"/>
      <c r="G85" s="10" t="str">
        <f t="shared" si="7"/>
        <v>NW-NM-</v>
      </c>
      <c r="H85" s="19">
        <f t="shared" si="8"/>
        <v>1</v>
      </c>
      <c r="M85" s="10" t="s">
        <v>150</v>
      </c>
      <c r="N85" s="10" t="s">
        <v>352</v>
      </c>
    </row>
    <row r="86" spans="1:14" ht="18.600000000000001" customHeight="1" x14ac:dyDescent="0.45">
      <c r="A86" s="10" t="s">
        <v>253</v>
      </c>
      <c r="B86" s="10" t="s">
        <v>258</v>
      </c>
      <c r="C86" s="10"/>
      <c r="D86" s="10" t="str">
        <f t="shared" si="5"/>
        <v>NW</v>
      </c>
      <c r="E86" s="10" t="str">
        <f t="shared" si="6"/>
        <v>NA</v>
      </c>
      <c r="F86" s="10"/>
      <c r="G86" s="10" t="str">
        <f t="shared" si="7"/>
        <v>NW-NA-</v>
      </c>
      <c r="H86" s="19">
        <f t="shared" si="8"/>
        <v>1</v>
      </c>
      <c r="M86" s="10" t="s">
        <v>151</v>
      </c>
      <c r="N86" s="10" t="s">
        <v>353</v>
      </c>
    </row>
    <row r="87" spans="1:14" ht="18.600000000000001" customHeight="1" x14ac:dyDescent="0.45">
      <c r="A87" s="10" t="s">
        <v>259</v>
      </c>
      <c r="B87" s="10" t="s">
        <v>260</v>
      </c>
      <c r="C87" s="10"/>
      <c r="D87" s="10" t="str">
        <f t="shared" si="5"/>
        <v>IS</v>
      </c>
      <c r="E87" s="10" t="str">
        <f t="shared" si="6"/>
        <v>SM</v>
      </c>
      <c r="F87" s="10"/>
      <c r="G87" s="10" t="str">
        <f t="shared" si="7"/>
        <v>IS-SM-</v>
      </c>
      <c r="H87" s="19">
        <f t="shared" si="8"/>
        <v>1</v>
      </c>
      <c r="M87" s="10" t="s">
        <v>152</v>
      </c>
      <c r="N87" s="10" t="s">
        <v>221</v>
      </c>
    </row>
    <row r="88" spans="1:14" ht="18.600000000000001" customHeight="1" x14ac:dyDescent="0.45">
      <c r="A88" s="10" t="s">
        <v>259</v>
      </c>
      <c r="B88" s="10" t="s">
        <v>261</v>
      </c>
      <c r="C88" s="10"/>
      <c r="D88" s="10" t="str">
        <f t="shared" si="5"/>
        <v>IS</v>
      </c>
      <c r="E88" s="10" t="str">
        <f t="shared" si="6"/>
        <v>SE</v>
      </c>
      <c r="F88" s="10"/>
      <c r="G88" s="10" t="str">
        <f t="shared" si="7"/>
        <v>IS-SE-</v>
      </c>
      <c r="H88" s="19">
        <f t="shared" si="8"/>
        <v>1</v>
      </c>
      <c r="M88" s="10" t="s">
        <v>153</v>
      </c>
      <c r="N88" s="10" t="s">
        <v>224</v>
      </c>
    </row>
    <row r="89" spans="1:14" ht="18.600000000000001" customHeight="1" x14ac:dyDescent="0.45">
      <c r="A89" s="10" t="s">
        <v>259</v>
      </c>
      <c r="B89" s="10" t="s">
        <v>262</v>
      </c>
      <c r="C89" s="10"/>
      <c r="D89" s="10" t="str">
        <f t="shared" si="5"/>
        <v>IS</v>
      </c>
      <c r="E89" s="10" t="str">
        <f t="shared" si="6"/>
        <v>ST</v>
      </c>
      <c r="F89" s="10"/>
      <c r="G89" s="10" t="str">
        <f t="shared" si="7"/>
        <v>IS-ST-</v>
      </c>
      <c r="H89" s="19">
        <f t="shared" si="8"/>
        <v>1</v>
      </c>
      <c r="M89" s="10" t="s">
        <v>154</v>
      </c>
      <c r="N89" s="10" t="s">
        <v>354</v>
      </c>
    </row>
    <row r="90" spans="1:14" ht="18.600000000000001" customHeight="1" x14ac:dyDescent="0.45">
      <c r="A90" s="10" t="s">
        <v>259</v>
      </c>
      <c r="B90" s="10" t="s">
        <v>263</v>
      </c>
      <c r="C90" s="10"/>
      <c r="D90" s="10" t="str">
        <f t="shared" si="5"/>
        <v>IS</v>
      </c>
      <c r="E90" s="10" t="str">
        <f t="shared" si="6"/>
        <v>SI</v>
      </c>
      <c r="F90" s="10"/>
      <c r="G90" s="10" t="str">
        <f t="shared" si="7"/>
        <v>IS-SI-</v>
      </c>
      <c r="H90" s="19">
        <f t="shared" si="8"/>
        <v>1</v>
      </c>
      <c r="M90" s="10" t="s">
        <v>155</v>
      </c>
      <c r="N90" s="10" t="s">
        <v>355</v>
      </c>
    </row>
    <row r="91" spans="1:14" ht="18.600000000000001" customHeight="1" x14ac:dyDescent="0.45">
      <c r="A91" s="10" t="s">
        <v>259</v>
      </c>
      <c r="B91" s="10" t="s">
        <v>130</v>
      </c>
      <c r="C91" s="10"/>
      <c r="D91" s="10" t="str">
        <f t="shared" si="5"/>
        <v>IS</v>
      </c>
      <c r="E91" s="10" t="str">
        <f t="shared" si="6"/>
        <v>PS</v>
      </c>
      <c r="F91" s="10"/>
      <c r="G91" s="10" t="str">
        <f t="shared" si="7"/>
        <v>IS-PS-</v>
      </c>
      <c r="H91" s="19">
        <f t="shared" si="8"/>
        <v>1</v>
      </c>
      <c r="M91" s="10" t="s">
        <v>156</v>
      </c>
      <c r="N91" s="10" t="s">
        <v>356</v>
      </c>
    </row>
    <row r="92" spans="1:14" ht="18.600000000000001" customHeight="1" x14ac:dyDescent="0.45">
      <c r="A92" s="10" t="s">
        <v>264</v>
      </c>
      <c r="B92" s="10" t="s">
        <v>265</v>
      </c>
      <c r="C92" s="10"/>
      <c r="D92" s="10" t="str">
        <f t="shared" si="5"/>
        <v>SD</v>
      </c>
      <c r="E92" s="10" t="str">
        <f t="shared" si="6"/>
        <v>RD</v>
      </c>
      <c r="F92" s="10"/>
      <c r="G92" s="10" t="str">
        <f t="shared" si="7"/>
        <v>SD-RD-</v>
      </c>
      <c r="H92" s="19">
        <f t="shared" si="8"/>
        <v>1</v>
      </c>
      <c r="M92" s="10" t="s">
        <v>158</v>
      </c>
      <c r="N92" s="10" t="s">
        <v>357</v>
      </c>
    </row>
    <row r="93" spans="1:14" ht="18.600000000000001" customHeight="1" x14ac:dyDescent="0.45">
      <c r="A93" s="10" t="s">
        <v>264</v>
      </c>
      <c r="B93" s="10" t="s">
        <v>266</v>
      </c>
      <c r="C93" s="10"/>
      <c r="D93" s="10" t="str">
        <f t="shared" si="5"/>
        <v>SD</v>
      </c>
      <c r="E93" s="10" t="str">
        <f t="shared" si="6"/>
        <v>DE</v>
      </c>
      <c r="F93" s="10"/>
      <c r="G93" s="10" t="str">
        <f t="shared" si="7"/>
        <v>SD-DE-</v>
      </c>
      <c r="H93" s="19">
        <f t="shared" si="8"/>
        <v>1</v>
      </c>
      <c r="M93" s="10" t="s">
        <v>160</v>
      </c>
      <c r="N93" s="10" t="s">
        <v>218</v>
      </c>
    </row>
    <row r="94" spans="1:14" ht="18.600000000000001" customHeight="1" x14ac:dyDescent="0.45">
      <c r="A94" s="10" t="s">
        <v>264</v>
      </c>
      <c r="B94" s="10" t="s">
        <v>267</v>
      </c>
      <c r="C94" s="10"/>
      <c r="D94" s="10" t="str">
        <f t="shared" si="5"/>
        <v>SD</v>
      </c>
      <c r="E94" s="10" t="str">
        <f t="shared" si="6"/>
        <v>IM</v>
      </c>
      <c r="F94" s="10"/>
      <c r="G94" s="10" t="str">
        <f t="shared" si="7"/>
        <v>SD-IM-</v>
      </c>
      <c r="H94" s="19">
        <f t="shared" si="8"/>
        <v>1</v>
      </c>
      <c r="M94" s="10" t="s">
        <v>161</v>
      </c>
      <c r="N94" s="10" t="s">
        <v>358</v>
      </c>
    </row>
    <row r="95" spans="1:14" ht="18.600000000000001" customHeight="1" x14ac:dyDescent="0.45">
      <c r="A95" s="10" t="s">
        <v>264</v>
      </c>
      <c r="B95" s="10" t="s">
        <v>268</v>
      </c>
      <c r="C95" s="10"/>
      <c r="D95" s="10" t="str">
        <f t="shared" si="5"/>
        <v>SD</v>
      </c>
      <c r="E95" s="10" t="str">
        <f t="shared" si="6"/>
        <v>IT</v>
      </c>
      <c r="F95" s="10"/>
      <c r="G95" s="10" t="str">
        <f t="shared" si="7"/>
        <v>SD-IT-</v>
      </c>
      <c r="H95" s="19">
        <f t="shared" si="8"/>
        <v>1</v>
      </c>
      <c r="M95" s="10" t="s">
        <v>162</v>
      </c>
      <c r="N95" s="10" t="s">
        <v>359</v>
      </c>
    </row>
    <row r="96" spans="1:14" ht="18.600000000000001" customHeight="1" x14ac:dyDescent="0.45">
      <c r="A96" s="10" t="s">
        <v>264</v>
      </c>
      <c r="B96" s="10" t="s">
        <v>269</v>
      </c>
      <c r="C96" s="10"/>
      <c r="D96" s="10" t="str">
        <f t="shared" si="5"/>
        <v>SD</v>
      </c>
      <c r="E96" s="10" t="str">
        <f t="shared" si="6"/>
        <v>AI</v>
      </c>
      <c r="F96" s="10"/>
      <c r="G96" s="10" t="str">
        <f t="shared" si="7"/>
        <v>SD-AI-</v>
      </c>
      <c r="H96" s="19">
        <f t="shared" si="8"/>
        <v>1</v>
      </c>
      <c r="M96" s="10" t="s">
        <v>163</v>
      </c>
      <c r="N96" s="10" t="s">
        <v>360</v>
      </c>
    </row>
    <row r="97" spans="1:14" ht="18.600000000000001" customHeight="1" x14ac:dyDescent="0.45">
      <c r="A97" s="10" t="s">
        <v>264</v>
      </c>
      <c r="B97" s="10" t="s">
        <v>270</v>
      </c>
      <c r="C97" s="10"/>
      <c r="D97" s="10" t="str">
        <f t="shared" si="5"/>
        <v>SD</v>
      </c>
      <c r="E97" s="10" t="str">
        <f t="shared" si="6"/>
        <v>MA</v>
      </c>
      <c r="F97" s="10"/>
      <c r="G97" s="10" t="str">
        <f t="shared" si="7"/>
        <v>SD-MA-</v>
      </c>
      <c r="H97" s="19">
        <f t="shared" si="8"/>
        <v>1</v>
      </c>
      <c r="M97" s="10" t="s">
        <v>165</v>
      </c>
      <c r="N97" s="10" t="s">
        <v>337</v>
      </c>
    </row>
    <row r="98" spans="1:14" ht="18.600000000000001" customHeight="1" x14ac:dyDescent="0.45">
      <c r="A98" s="10" t="s">
        <v>271</v>
      </c>
      <c r="B98" s="10" t="s">
        <v>272</v>
      </c>
      <c r="C98" s="10"/>
      <c r="D98" s="10" t="str">
        <f t="shared" si="5"/>
        <v>SM</v>
      </c>
      <c r="E98" s="10" t="str">
        <f t="shared" si="6"/>
        <v>DP</v>
      </c>
      <c r="F98" s="10"/>
      <c r="G98" s="10" t="str">
        <f t="shared" si="7"/>
        <v>SM-DP-</v>
      </c>
      <c r="H98" s="19">
        <f t="shared" si="8"/>
        <v>1</v>
      </c>
      <c r="M98" s="10" t="s">
        <v>166</v>
      </c>
      <c r="N98" s="10" t="s">
        <v>343</v>
      </c>
    </row>
    <row r="99" spans="1:14" ht="18.600000000000001" customHeight="1" x14ac:dyDescent="0.45">
      <c r="A99" s="10" t="s">
        <v>271</v>
      </c>
      <c r="B99" s="10" t="s">
        <v>273</v>
      </c>
      <c r="C99" s="10"/>
      <c r="D99" s="10" t="str">
        <f t="shared" si="5"/>
        <v>SM</v>
      </c>
      <c r="E99" s="10" t="str">
        <f t="shared" si="6"/>
        <v>IP</v>
      </c>
      <c r="F99" s="10"/>
      <c r="G99" s="10" t="str">
        <f t="shared" si="7"/>
        <v>SM-IP-</v>
      </c>
      <c r="H99" s="19">
        <f t="shared" si="8"/>
        <v>1</v>
      </c>
      <c r="M99" s="10" t="s">
        <v>167</v>
      </c>
      <c r="N99" s="10" t="s">
        <v>204</v>
      </c>
    </row>
    <row r="100" spans="1:14" ht="18.600000000000001" customHeight="1" x14ac:dyDescent="0.45">
      <c r="A100" s="10" t="s">
        <v>271</v>
      </c>
      <c r="B100" s="10" t="s">
        <v>274</v>
      </c>
      <c r="C100" s="10"/>
      <c r="D100" s="10" t="str">
        <f t="shared" si="5"/>
        <v>SM</v>
      </c>
      <c r="E100" s="10" t="str">
        <f t="shared" si="6"/>
        <v>EM</v>
      </c>
      <c r="F100" s="10"/>
      <c r="G100" s="10" t="str">
        <f t="shared" si="7"/>
        <v>SM-EM-</v>
      </c>
      <c r="H100" s="19">
        <f t="shared" si="8"/>
        <v>1</v>
      </c>
      <c r="M100" s="10" t="s">
        <v>168</v>
      </c>
      <c r="N100" s="10" t="s">
        <v>325</v>
      </c>
    </row>
    <row r="101" spans="1:14" ht="18.600000000000001" customHeight="1" x14ac:dyDescent="0.45">
      <c r="A101" s="10" t="s">
        <v>271</v>
      </c>
      <c r="B101" s="10" t="s">
        <v>275</v>
      </c>
      <c r="C101" s="10"/>
      <c r="D101" s="10" t="str">
        <f t="shared" si="5"/>
        <v>SM</v>
      </c>
      <c r="E101" s="10" t="str">
        <f t="shared" si="6"/>
        <v>CM</v>
      </c>
      <c r="F101" s="10"/>
      <c r="G101" s="10" t="str">
        <f t="shared" si="7"/>
        <v>SM-CM-</v>
      </c>
      <c r="H101" s="19">
        <f t="shared" si="8"/>
        <v>1</v>
      </c>
      <c r="M101" s="10" t="s">
        <v>169</v>
      </c>
      <c r="N101" s="10" t="s">
        <v>207</v>
      </c>
    </row>
    <row r="102" spans="1:14" ht="18.600000000000001" customHeight="1" x14ac:dyDescent="0.45">
      <c r="A102" s="10" t="s">
        <v>276</v>
      </c>
      <c r="B102" s="10" t="s">
        <v>276</v>
      </c>
      <c r="C102" s="10"/>
      <c r="D102" s="10" t="str">
        <f t="shared" si="5"/>
        <v>PM</v>
      </c>
      <c r="E102" s="10" t="str">
        <f t="shared" si="6"/>
        <v>PM</v>
      </c>
      <c r="F102" s="10"/>
      <c r="G102" s="10" t="str">
        <f t="shared" si="7"/>
        <v>PM-PM-</v>
      </c>
      <c r="H102" s="19">
        <f t="shared" si="8"/>
        <v>1</v>
      </c>
      <c r="M102" s="10" t="s">
        <v>170</v>
      </c>
      <c r="N102" s="10" t="s">
        <v>361</v>
      </c>
    </row>
    <row r="103" spans="1:14" ht="18.600000000000001" customHeight="1" x14ac:dyDescent="0.45">
      <c r="A103" s="10" t="s">
        <v>276</v>
      </c>
      <c r="B103" s="10" t="s">
        <v>277</v>
      </c>
      <c r="C103" s="10"/>
      <c r="D103" s="10" t="str">
        <f t="shared" si="5"/>
        <v>PM</v>
      </c>
      <c r="E103" s="10" t="str">
        <f t="shared" si="6"/>
        <v>PI</v>
      </c>
      <c r="F103" s="10"/>
      <c r="G103" s="10" t="str">
        <f t="shared" si="7"/>
        <v>PM-PI-</v>
      </c>
      <c r="H103" s="19">
        <f t="shared" si="8"/>
        <v>1</v>
      </c>
      <c r="M103" s="10" t="s">
        <v>171</v>
      </c>
      <c r="N103" s="10" t="s">
        <v>362</v>
      </c>
    </row>
    <row r="104" spans="1:14" ht="18.600000000000001" customHeight="1" x14ac:dyDescent="0.45">
      <c r="A104" s="10" t="s">
        <v>276</v>
      </c>
      <c r="B104" s="10" t="s">
        <v>278</v>
      </c>
      <c r="C104" s="10"/>
      <c r="D104" s="10" t="str">
        <f t="shared" si="5"/>
        <v>PM</v>
      </c>
      <c r="E104" s="10" t="str">
        <f t="shared" si="6"/>
        <v>SH</v>
      </c>
      <c r="F104" s="10"/>
      <c r="G104" s="10" t="str">
        <f t="shared" si="7"/>
        <v>PM-SH-</v>
      </c>
      <c r="H104" s="19">
        <f t="shared" si="8"/>
        <v>1</v>
      </c>
      <c r="M104" s="10" t="s">
        <v>174</v>
      </c>
      <c r="N104" s="10" t="s">
        <v>363</v>
      </c>
    </row>
    <row r="105" spans="1:14" ht="18.600000000000001" customHeight="1" x14ac:dyDescent="0.45">
      <c r="A105" s="10" t="s">
        <v>276</v>
      </c>
      <c r="B105" s="10" t="s">
        <v>279</v>
      </c>
      <c r="C105" s="10"/>
      <c r="D105" s="10" t="str">
        <f t="shared" si="5"/>
        <v>PM</v>
      </c>
      <c r="E105" s="10" t="str">
        <f t="shared" si="6"/>
        <v>SC</v>
      </c>
      <c r="F105" s="10"/>
      <c r="G105" s="10" t="str">
        <f t="shared" si="7"/>
        <v>PM-SC-</v>
      </c>
      <c r="H105" s="19">
        <f t="shared" si="8"/>
        <v>1</v>
      </c>
      <c r="M105" s="10" t="s">
        <v>175</v>
      </c>
      <c r="N105" s="10" t="s">
        <v>334</v>
      </c>
    </row>
    <row r="106" spans="1:14" ht="18.600000000000001" customHeight="1" x14ac:dyDescent="0.45">
      <c r="A106" s="10" t="s">
        <v>276</v>
      </c>
      <c r="B106" s="10" t="s">
        <v>280</v>
      </c>
      <c r="C106" s="10"/>
      <c r="D106" s="10" t="str">
        <f t="shared" si="5"/>
        <v>PM</v>
      </c>
      <c r="E106" s="10" t="str">
        <f t="shared" si="6"/>
        <v>RS</v>
      </c>
      <c r="F106" s="10"/>
      <c r="G106" s="10" t="str">
        <f t="shared" si="7"/>
        <v>PM-RS-</v>
      </c>
      <c r="H106" s="19">
        <f t="shared" si="8"/>
        <v>1</v>
      </c>
      <c r="M106" s="10" t="s">
        <v>177</v>
      </c>
      <c r="N106" s="10" t="s">
        <v>364</v>
      </c>
    </row>
    <row r="107" spans="1:14" ht="18.600000000000001" customHeight="1" x14ac:dyDescent="0.45">
      <c r="A107" s="10" t="s">
        <v>276</v>
      </c>
      <c r="B107" s="10" t="s">
        <v>281</v>
      </c>
      <c r="C107" s="10"/>
      <c r="D107" s="10" t="str">
        <f t="shared" si="5"/>
        <v>PM</v>
      </c>
      <c r="E107" s="10" t="str">
        <f t="shared" si="6"/>
        <v>TM</v>
      </c>
      <c r="F107" s="10"/>
      <c r="G107" s="10" t="str">
        <f t="shared" si="7"/>
        <v>PM-TM-</v>
      </c>
      <c r="H107" s="19">
        <f t="shared" si="8"/>
        <v>1</v>
      </c>
      <c r="M107" s="10" t="s">
        <v>178</v>
      </c>
      <c r="N107" s="10" t="s">
        <v>365</v>
      </c>
    </row>
    <row r="108" spans="1:14" ht="18.600000000000001" customHeight="1" x14ac:dyDescent="0.45">
      <c r="A108" s="10" t="s">
        <v>276</v>
      </c>
      <c r="B108" s="10" t="s">
        <v>282</v>
      </c>
      <c r="C108" s="10"/>
      <c r="D108" s="10" t="str">
        <f t="shared" si="5"/>
        <v>PM</v>
      </c>
      <c r="E108" s="10" t="str">
        <f t="shared" si="6"/>
        <v>CO</v>
      </c>
      <c r="F108" s="10"/>
      <c r="G108" s="10" t="str">
        <f t="shared" si="7"/>
        <v>PM-CO-</v>
      </c>
      <c r="H108" s="19">
        <f t="shared" si="8"/>
        <v>1</v>
      </c>
      <c r="M108" s="10" t="s">
        <v>384</v>
      </c>
      <c r="N108" s="10" t="s">
        <v>366</v>
      </c>
    </row>
    <row r="109" spans="1:14" ht="18.600000000000001" customHeight="1" x14ac:dyDescent="0.45">
      <c r="A109" s="10" t="s">
        <v>276</v>
      </c>
      <c r="B109" s="10" t="s">
        <v>283</v>
      </c>
      <c r="C109" s="10"/>
      <c r="D109" s="10" t="str">
        <f t="shared" si="5"/>
        <v>PM</v>
      </c>
      <c r="E109" s="10" t="str">
        <f t="shared" si="6"/>
        <v>RK</v>
      </c>
      <c r="F109" s="10"/>
      <c r="G109" s="10" t="str">
        <f t="shared" si="7"/>
        <v>PM-RK-</v>
      </c>
      <c r="H109" s="19">
        <f t="shared" si="8"/>
        <v>1</v>
      </c>
      <c r="M109" s="10" t="s">
        <v>180</v>
      </c>
      <c r="N109" s="10" t="s">
        <v>367</v>
      </c>
    </row>
    <row r="110" spans="1:14" ht="18.600000000000001" customHeight="1" x14ac:dyDescent="0.45">
      <c r="A110" s="10" t="s">
        <v>276</v>
      </c>
      <c r="B110" s="10" t="s">
        <v>284</v>
      </c>
      <c r="C110" s="10"/>
      <c r="D110" s="10" t="str">
        <f t="shared" si="5"/>
        <v>PM</v>
      </c>
      <c r="E110" s="10" t="str">
        <f t="shared" si="6"/>
        <v>QL</v>
      </c>
      <c r="F110" s="10"/>
      <c r="G110" s="10" t="str">
        <f t="shared" si="7"/>
        <v>PM-QL-</v>
      </c>
      <c r="H110" s="19">
        <f t="shared" si="8"/>
        <v>1</v>
      </c>
      <c r="M110" s="10" t="s">
        <v>181</v>
      </c>
      <c r="N110" s="10" t="s">
        <v>368</v>
      </c>
    </row>
    <row r="111" spans="1:14" ht="18.600000000000001" customHeight="1" x14ac:dyDescent="0.45">
      <c r="A111" s="10" t="s">
        <v>285</v>
      </c>
      <c r="B111" s="10" t="s">
        <v>285</v>
      </c>
      <c r="C111" s="10"/>
      <c r="D111" s="10" t="str">
        <f t="shared" si="5"/>
        <v>SW</v>
      </c>
      <c r="E111" s="10" t="str">
        <f t="shared" si="6"/>
        <v>SM</v>
      </c>
      <c r="F111" s="10"/>
      <c r="G111" s="10" t="str">
        <f t="shared" si="7"/>
        <v>SW-SM-</v>
      </c>
      <c r="H111" s="19">
        <f t="shared" si="8"/>
        <v>1</v>
      </c>
      <c r="M111" s="10" t="s">
        <v>183</v>
      </c>
      <c r="N111" s="10" t="s">
        <v>369</v>
      </c>
    </row>
    <row r="112" spans="1:14" ht="18.600000000000001" customHeight="1" x14ac:dyDescent="0.45">
      <c r="A112" s="10" t="s">
        <v>285</v>
      </c>
      <c r="B112" s="10" t="s">
        <v>286</v>
      </c>
      <c r="C112" s="10"/>
      <c r="D112" s="10" t="str">
        <f t="shared" si="5"/>
        <v>SW</v>
      </c>
      <c r="E112" s="10" t="str">
        <f t="shared" si="6"/>
        <v>SP</v>
      </c>
      <c r="F112" s="10"/>
      <c r="G112" s="10" t="str">
        <f t="shared" si="7"/>
        <v>SW-SP-</v>
      </c>
      <c r="H112" s="19">
        <f t="shared" si="8"/>
        <v>1</v>
      </c>
      <c r="M112" s="10" t="s">
        <v>184</v>
      </c>
      <c r="N112" s="10" t="s">
        <v>335</v>
      </c>
    </row>
    <row r="113" spans="1:14" ht="18.600000000000001" customHeight="1" x14ac:dyDescent="0.45">
      <c r="A113" s="10" t="s">
        <v>285</v>
      </c>
      <c r="B113" s="10" t="s">
        <v>287</v>
      </c>
      <c r="C113" s="10"/>
      <c r="D113" s="10" t="str">
        <f t="shared" si="5"/>
        <v>SW</v>
      </c>
      <c r="E113" s="10" t="str">
        <f t="shared" si="6"/>
        <v>PE</v>
      </c>
      <c r="F113" s="10"/>
      <c r="G113" s="10" t="str">
        <f t="shared" si="7"/>
        <v>SW-PE-</v>
      </c>
      <c r="H113" s="19">
        <f t="shared" si="8"/>
        <v>1</v>
      </c>
      <c r="M113" s="10" t="s">
        <v>185</v>
      </c>
      <c r="N113" s="10" t="s">
        <v>370</v>
      </c>
    </row>
    <row r="114" spans="1:14" ht="18.600000000000001" customHeight="1" x14ac:dyDescent="0.45">
      <c r="A114" s="10" t="s">
        <v>285</v>
      </c>
      <c r="B114" s="10" t="s">
        <v>288</v>
      </c>
      <c r="C114" s="10"/>
      <c r="D114" s="10" t="str">
        <f t="shared" si="5"/>
        <v>SW</v>
      </c>
      <c r="E114" s="10" t="str">
        <f t="shared" si="6"/>
        <v>SO</v>
      </c>
      <c r="F114" s="10"/>
      <c r="G114" s="10" t="str">
        <f t="shared" si="7"/>
        <v>SW-SO-</v>
      </c>
      <c r="H114" s="19">
        <f t="shared" si="8"/>
        <v>1</v>
      </c>
      <c r="M114" s="10" t="s">
        <v>51</v>
      </c>
      <c r="N114" s="10" t="s">
        <v>188</v>
      </c>
    </row>
    <row r="115" spans="1:14" ht="18.600000000000001" customHeight="1" x14ac:dyDescent="0.45">
      <c r="A115" s="10" t="s">
        <v>285</v>
      </c>
      <c r="B115" s="10" t="s">
        <v>289</v>
      </c>
      <c r="C115" s="10"/>
      <c r="D115" s="10" t="str">
        <f t="shared" si="5"/>
        <v>SW</v>
      </c>
      <c r="E115" s="10" t="str">
        <f t="shared" si="6"/>
        <v>FM</v>
      </c>
      <c r="F115" s="10"/>
      <c r="G115" s="10" t="str">
        <f t="shared" si="7"/>
        <v>SW-FM-</v>
      </c>
      <c r="H115" s="19">
        <f t="shared" si="8"/>
        <v>1</v>
      </c>
      <c r="M115" s="10" t="s">
        <v>52</v>
      </c>
      <c r="N115" s="10" t="s">
        <v>189</v>
      </c>
    </row>
    <row r="116" spans="1:14" ht="18.600000000000001" customHeight="1" x14ac:dyDescent="0.45">
      <c r="A116" s="10" t="s">
        <v>290</v>
      </c>
      <c r="B116" s="10" t="s">
        <v>291</v>
      </c>
      <c r="C116" s="10"/>
      <c r="D116" s="10" t="str">
        <f t="shared" si="5"/>
        <v>AU</v>
      </c>
      <c r="E116" s="10" t="str">
        <f t="shared" si="6"/>
        <v>IC</v>
      </c>
      <c r="F116" s="10"/>
      <c r="G116" s="10" t="str">
        <f t="shared" si="7"/>
        <v>AU-IC-</v>
      </c>
      <c r="H116" s="19">
        <f t="shared" si="8"/>
        <v>1</v>
      </c>
    </row>
    <row r="117" spans="1:14" ht="18.600000000000001" customHeight="1" x14ac:dyDescent="0.45">
      <c r="A117" s="10" t="s">
        <v>292</v>
      </c>
      <c r="B117" s="10" t="s">
        <v>293</v>
      </c>
      <c r="C117" s="10"/>
      <c r="D117" s="10" t="str">
        <f t="shared" si="5"/>
        <v>ST</v>
      </c>
      <c r="E117" s="10" t="str">
        <f t="shared" si="6"/>
        <v>IS</v>
      </c>
      <c r="F117" s="10"/>
      <c r="G117" s="10" t="str">
        <f t="shared" si="7"/>
        <v>ST-IS-</v>
      </c>
      <c r="H117" s="19">
        <f t="shared" si="8"/>
        <v>1</v>
      </c>
    </row>
    <row r="118" spans="1:14" ht="18.600000000000001" customHeight="1" x14ac:dyDescent="0.45">
      <c r="A118" s="10" t="s">
        <v>292</v>
      </c>
      <c r="B118" s="10" t="s">
        <v>294</v>
      </c>
      <c r="C118" s="10"/>
      <c r="D118" s="10" t="str">
        <f t="shared" si="5"/>
        <v>ST</v>
      </c>
      <c r="E118" s="10" t="str">
        <f t="shared" si="6"/>
        <v>BP</v>
      </c>
      <c r="F118" s="10"/>
      <c r="G118" s="10" t="str">
        <f t="shared" si="7"/>
        <v>ST-BP-</v>
      </c>
      <c r="H118" s="19">
        <f t="shared" si="8"/>
        <v>1</v>
      </c>
    </row>
    <row r="119" spans="1:14" ht="18.600000000000001" customHeight="1" x14ac:dyDescent="0.45">
      <c r="A119" s="10" t="s">
        <v>292</v>
      </c>
      <c r="B119" s="10" t="s">
        <v>295</v>
      </c>
      <c r="C119" s="10"/>
      <c r="D119" s="10" t="str">
        <f t="shared" si="5"/>
        <v>ST</v>
      </c>
      <c r="E119" s="10" t="str">
        <f t="shared" si="6"/>
        <v>SB</v>
      </c>
      <c r="F119" s="10"/>
      <c r="G119" s="10" t="str">
        <f t="shared" si="7"/>
        <v>ST-SB-</v>
      </c>
      <c r="H119" s="19">
        <f t="shared" si="8"/>
        <v>1</v>
      </c>
    </row>
    <row r="120" spans="1:14" ht="18.600000000000001" customHeight="1" x14ac:dyDescent="0.45">
      <c r="A120" s="10" t="s">
        <v>292</v>
      </c>
      <c r="B120" s="10" t="s">
        <v>296</v>
      </c>
      <c r="C120" s="10"/>
      <c r="D120" s="10" t="str">
        <f t="shared" si="5"/>
        <v>ST</v>
      </c>
      <c r="E120" s="10" t="str">
        <f t="shared" si="6"/>
        <v>AE</v>
      </c>
      <c r="F120" s="10"/>
      <c r="G120" s="10" t="str">
        <f t="shared" si="7"/>
        <v>ST-AE-</v>
      </c>
      <c r="H120" s="19">
        <f t="shared" si="8"/>
        <v>1</v>
      </c>
    </row>
    <row r="121" spans="1:14" ht="18.600000000000001" customHeight="1" x14ac:dyDescent="0.45">
      <c r="A121" s="10" t="s">
        <v>297</v>
      </c>
      <c r="B121" s="10" t="s">
        <v>298</v>
      </c>
      <c r="C121" s="10"/>
      <c r="D121" s="10" t="str">
        <f t="shared" si="5"/>
        <v>SP</v>
      </c>
      <c r="E121" s="10" t="str">
        <f t="shared" si="6"/>
        <v>CP</v>
      </c>
      <c r="F121" s="10"/>
      <c r="G121" s="10" t="str">
        <f t="shared" si="7"/>
        <v>SP-CP-</v>
      </c>
      <c r="H121" s="19">
        <f t="shared" si="8"/>
        <v>1</v>
      </c>
    </row>
    <row r="122" spans="1:14" ht="18.600000000000001" customHeight="1" x14ac:dyDescent="0.45">
      <c r="A122" s="10" t="s">
        <v>297</v>
      </c>
      <c r="B122" s="10" t="s">
        <v>299</v>
      </c>
      <c r="C122" s="10"/>
      <c r="D122" s="10" t="str">
        <f t="shared" si="5"/>
        <v>SP</v>
      </c>
      <c r="E122" s="10" t="str">
        <f t="shared" si="6"/>
        <v>RD</v>
      </c>
      <c r="F122" s="10"/>
      <c r="G122" s="10" t="str">
        <f t="shared" si="7"/>
        <v>SP-RD-</v>
      </c>
      <c r="H122" s="19">
        <f t="shared" si="8"/>
        <v>1</v>
      </c>
    </row>
    <row r="123" spans="1:14" ht="18.600000000000001" customHeight="1" x14ac:dyDescent="0.45">
      <c r="A123" s="10" t="s">
        <v>297</v>
      </c>
      <c r="B123" s="10" t="s">
        <v>300</v>
      </c>
      <c r="C123" s="10"/>
      <c r="D123" s="10" t="str">
        <f t="shared" si="5"/>
        <v>SP</v>
      </c>
      <c r="E123" s="10" t="str">
        <f t="shared" si="6"/>
        <v>PP</v>
      </c>
      <c r="F123" s="10"/>
      <c r="G123" s="10" t="str">
        <f t="shared" si="7"/>
        <v>SP-PP-</v>
      </c>
      <c r="H123" s="19">
        <f t="shared" si="8"/>
        <v>1</v>
      </c>
    </row>
    <row r="124" spans="1:14" ht="18.600000000000001" customHeight="1" x14ac:dyDescent="0.45">
      <c r="A124" s="10" t="s">
        <v>172</v>
      </c>
      <c r="B124" s="10" t="s">
        <v>168</v>
      </c>
      <c r="C124" s="10"/>
      <c r="D124" s="10" t="str">
        <f t="shared" si="5"/>
        <v>KS</v>
      </c>
      <c r="E124" s="10" t="str">
        <f t="shared" si="6"/>
        <v>EM</v>
      </c>
      <c r="F124" s="10"/>
      <c r="G124" s="10" t="str">
        <f t="shared" si="7"/>
        <v>KS-EM-</v>
      </c>
      <c r="H124" s="19">
        <f t="shared" si="8"/>
        <v>1</v>
      </c>
    </row>
    <row r="125" spans="1:14" ht="18.600000000000001" customHeight="1" x14ac:dyDescent="0.45">
      <c r="A125" s="10" t="s">
        <v>172</v>
      </c>
      <c r="B125" s="10" t="s">
        <v>169</v>
      </c>
      <c r="C125" s="10"/>
      <c r="D125" s="10" t="str">
        <f t="shared" si="5"/>
        <v>KS</v>
      </c>
      <c r="E125" s="10" t="str">
        <f t="shared" si="6"/>
        <v>MK</v>
      </c>
      <c r="F125" s="10"/>
      <c r="G125" s="10" t="str">
        <f t="shared" si="7"/>
        <v>KS-MK-</v>
      </c>
      <c r="H125" s="19">
        <f t="shared" si="8"/>
        <v>1</v>
      </c>
    </row>
    <row r="126" spans="1:14" ht="18.600000000000001" customHeight="1" x14ac:dyDescent="0.45">
      <c r="A126" s="10" t="s">
        <v>172</v>
      </c>
      <c r="B126" s="10" t="s">
        <v>170</v>
      </c>
      <c r="C126" s="10"/>
      <c r="D126" s="10" t="str">
        <f t="shared" si="5"/>
        <v>KS</v>
      </c>
      <c r="E126" s="10" t="str">
        <f t="shared" si="6"/>
        <v>BE</v>
      </c>
      <c r="F126" s="10"/>
      <c r="G126" s="10" t="str">
        <f t="shared" si="7"/>
        <v>KS-BE-</v>
      </c>
      <c r="H126" s="19">
        <f t="shared" si="8"/>
        <v>1</v>
      </c>
    </row>
    <row r="127" spans="1:14" ht="18.600000000000001" customHeight="1" x14ac:dyDescent="0.45">
      <c r="A127" s="10" t="s">
        <v>172</v>
      </c>
      <c r="B127" s="10" t="s">
        <v>171</v>
      </c>
      <c r="C127" s="10"/>
      <c r="D127" s="10" t="str">
        <f t="shared" si="5"/>
        <v>KS</v>
      </c>
      <c r="E127" s="10" t="str">
        <f t="shared" si="6"/>
        <v>MS</v>
      </c>
      <c r="F127" s="10"/>
      <c r="G127" s="10" t="str">
        <f t="shared" si="7"/>
        <v>KS-MS-</v>
      </c>
      <c r="H127" s="19">
        <f t="shared" si="8"/>
        <v>1</v>
      </c>
    </row>
    <row r="128" spans="1:14" ht="18.600000000000001" customHeight="1" x14ac:dyDescent="0.45">
      <c r="A128" s="10" t="s">
        <v>173</v>
      </c>
      <c r="B128" s="10" t="s">
        <v>174</v>
      </c>
      <c r="C128" s="10"/>
      <c r="D128" s="10" t="str">
        <f t="shared" si="5"/>
        <v>TM</v>
      </c>
      <c r="E128" s="10" t="str">
        <f t="shared" si="6"/>
        <v>TS</v>
      </c>
      <c r="F128" s="10"/>
      <c r="G128" s="10" t="str">
        <f t="shared" si="7"/>
        <v>TM-TS-</v>
      </c>
      <c r="H128" s="19">
        <f t="shared" si="8"/>
        <v>1</v>
      </c>
    </row>
    <row r="129" spans="1:8" ht="18.600000000000001" customHeight="1" x14ac:dyDescent="0.45">
      <c r="A129" s="10" t="s">
        <v>173</v>
      </c>
      <c r="B129" s="10" t="s">
        <v>175</v>
      </c>
      <c r="C129" s="10"/>
      <c r="D129" s="10" t="str">
        <f t="shared" si="5"/>
        <v>TM</v>
      </c>
      <c r="E129" s="10" t="str">
        <f t="shared" si="6"/>
        <v>TP</v>
      </c>
      <c r="F129" s="10"/>
      <c r="G129" s="10" t="str">
        <f t="shared" si="7"/>
        <v>TM-TP-</v>
      </c>
      <c r="H129" s="19">
        <f t="shared" si="8"/>
        <v>1</v>
      </c>
    </row>
    <row r="130" spans="1:8" ht="18.600000000000001" customHeight="1" x14ac:dyDescent="0.45">
      <c r="A130" s="10" t="s">
        <v>176</v>
      </c>
      <c r="B130" s="10" t="s">
        <v>177</v>
      </c>
      <c r="C130" s="10"/>
      <c r="D130" s="10" t="str">
        <f t="shared" si="5"/>
        <v>BI</v>
      </c>
      <c r="E130" s="10" t="str">
        <f t="shared" si="6"/>
        <v>BS</v>
      </c>
      <c r="F130" s="10"/>
      <c r="G130" s="10" t="str">
        <f t="shared" si="7"/>
        <v>BI-BS-</v>
      </c>
      <c r="H130" s="19">
        <f t="shared" si="8"/>
        <v>1</v>
      </c>
    </row>
    <row r="131" spans="1:8" ht="18.600000000000001" customHeight="1" x14ac:dyDescent="0.45">
      <c r="A131" s="10" t="s">
        <v>176</v>
      </c>
      <c r="B131" s="10" t="s">
        <v>178</v>
      </c>
      <c r="C131" s="10"/>
      <c r="D131" s="10" t="str">
        <f t="shared" ref="D131:D194" si="9">IFERROR(VLOOKUP(A131,$J$2:$K$19,2,FALSE),"")</f>
        <v>BI</v>
      </c>
      <c r="E131" s="10" t="str">
        <f t="shared" ref="E131:E168" si="10">IFERROR(VLOOKUP(B131,$M$2:$N$115,2,FALSE),"")</f>
        <v>ES</v>
      </c>
      <c r="F131" s="10"/>
      <c r="G131" s="10" t="str">
        <f t="shared" ref="G131:G190" si="11">IF(D131="","",IF(F131="",D131&amp;"-"&amp;E131&amp;"-",D131&amp;"-"&amp;E131&amp;"-"&amp;F131&amp;"-"))</f>
        <v>BI-ES-</v>
      </c>
      <c r="H131" s="19">
        <f t="shared" ref="H131:H194" si="12">IF(G131="","",COUNTIF($G$2:$G$190,G131))</f>
        <v>1</v>
      </c>
    </row>
    <row r="132" spans="1:8" ht="18.600000000000001" customHeight="1" x14ac:dyDescent="0.45">
      <c r="A132" s="10" t="s">
        <v>176</v>
      </c>
      <c r="B132" s="10" t="s">
        <v>179</v>
      </c>
      <c r="C132" s="10"/>
      <c r="D132" s="10" t="str">
        <f t="shared" si="9"/>
        <v>BI</v>
      </c>
      <c r="E132" s="10" t="str">
        <f t="shared" si="10"/>
        <v>EB</v>
      </c>
      <c r="F132" s="10"/>
      <c r="G132" s="10" t="str">
        <f t="shared" si="11"/>
        <v>BI-EB-</v>
      </c>
      <c r="H132" s="19">
        <f t="shared" si="12"/>
        <v>1</v>
      </c>
    </row>
    <row r="133" spans="1:8" ht="18.600000000000001" customHeight="1" x14ac:dyDescent="0.45">
      <c r="A133" s="10" t="s">
        <v>176</v>
      </c>
      <c r="B133" s="10" t="s">
        <v>180</v>
      </c>
      <c r="C133" s="10"/>
      <c r="D133" s="10" t="str">
        <f t="shared" si="9"/>
        <v>BI</v>
      </c>
      <c r="E133" s="10" t="str">
        <f t="shared" si="10"/>
        <v>CE</v>
      </c>
      <c r="F133" s="10"/>
      <c r="G133" s="10" t="str">
        <f t="shared" si="11"/>
        <v>BI-CE-</v>
      </c>
      <c r="H133" s="19">
        <f t="shared" si="12"/>
        <v>1</v>
      </c>
    </row>
    <row r="134" spans="1:8" ht="18.600000000000001" customHeight="1" x14ac:dyDescent="0.45">
      <c r="A134" s="10" t="s">
        <v>176</v>
      </c>
      <c r="B134" s="10" t="s">
        <v>181</v>
      </c>
      <c r="C134" s="10"/>
      <c r="D134" s="10" t="str">
        <f t="shared" si="9"/>
        <v>BI</v>
      </c>
      <c r="E134" s="10" t="str">
        <f t="shared" si="10"/>
        <v>IE</v>
      </c>
      <c r="F134" s="10"/>
      <c r="G134" s="10" t="str">
        <f t="shared" si="11"/>
        <v>BI-IE-</v>
      </c>
      <c r="H134" s="19">
        <f t="shared" si="12"/>
        <v>1</v>
      </c>
    </row>
    <row r="135" spans="1:8" ht="18.600000000000001" customHeight="1" x14ac:dyDescent="0.45">
      <c r="A135" s="10" t="s">
        <v>182</v>
      </c>
      <c r="B135" s="10" t="s">
        <v>183</v>
      </c>
      <c r="C135" s="10"/>
      <c r="D135" s="10" t="str">
        <f t="shared" si="9"/>
        <v>CL</v>
      </c>
      <c r="E135" s="10" t="str">
        <f t="shared" si="10"/>
        <v>OM</v>
      </c>
      <c r="F135" s="10"/>
      <c r="G135" s="10" t="str">
        <f t="shared" si="11"/>
        <v>CL-OM-</v>
      </c>
      <c r="H135" s="19">
        <f t="shared" si="12"/>
        <v>1</v>
      </c>
    </row>
    <row r="136" spans="1:8" ht="18.600000000000001" customHeight="1" x14ac:dyDescent="0.45">
      <c r="A136" s="10" t="s">
        <v>182</v>
      </c>
      <c r="B136" s="10" t="s">
        <v>184</v>
      </c>
      <c r="C136" s="10"/>
      <c r="D136" s="10" t="str">
        <f t="shared" si="9"/>
        <v>CL</v>
      </c>
      <c r="E136" s="10" t="str">
        <f t="shared" si="10"/>
        <v>DA</v>
      </c>
      <c r="F136" s="10"/>
      <c r="G136" s="10" t="str">
        <f t="shared" si="11"/>
        <v>CL-DA-</v>
      </c>
      <c r="H136" s="19">
        <f t="shared" si="12"/>
        <v>1</v>
      </c>
    </row>
    <row r="137" spans="1:8" ht="18.600000000000001" customHeight="1" x14ac:dyDescent="0.45">
      <c r="A137" s="10" t="s">
        <v>182</v>
      </c>
      <c r="B137" s="10" t="s">
        <v>185</v>
      </c>
      <c r="C137" s="10"/>
      <c r="D137" s="10" t="str">
        <f t="shared" si="9"/>
        <v>CL</v>
      </c>
      <c r="E137" s="10" t="str">
        <f t="shared" si="10"/>
        <v>AF</v>
      </c>
      <c r="F137" s="10"/>
      <c r="G137" s="10" t="str">
        <f t="shared" si="11"/>
        <v>CL-AF-</v>
      </c>
      <c r="H137" s="19">
        <f t="shared" si="12"/>
        <v>1</v>
      </c>
    </row>
    <row r="138" spans="1:8" ht="18.600000000000001" customHeight="1" x14ac:dyDescent="0.45">
      <c r="A138" s="10"/>
      <c r="B138" s="10"/>
      <c r="C138" s="10"/>
      <c r="D138" s="10" t="str">
        <f t="shared" si="9"/>
        <v/>
      </c>
      <c r="E138" s="10" t="str">
        <f t="shared" si="10"/>
        <v/>
      </c>
      <c r="F138" s="10"/>
      <c r="G138" s="10" t="str">
        <f t="shared" si="11"/>
        <v/>
      </c>
      <c r="H138" s="19" t="str">
        <f t="shared" si="12"/>
        <v/>
      </c>
    </row>
    <row r="139" spans="1:8" ht="18.600000000000001" customHeight="1" x14ac:dyDescent="0.45">
      <c r="A139" s="10"/>
      <c r="B139" s="10"/>
      <c r="C139" s="10"/>
      <c r="D139" s="10" t="str">
        <f t="shared" si="9"/>
        <v/>
      </c>
      <c r="E139" s="10" t="str">
        <f t="shared" si="10"/>
        <v/>
      </c>
      <c r="F139" s="10"/>
      <c r="G139" s="10" t="str">
        <f t="shared" si="11"/>
        <v/>
      </c>
      <c r="H139" s="19" t="str">
        <f t="shared" si="12"/>
        <v/>
      </c>
    </row>
    <row r="140" spans="1:8" ht="18.600000000000001" customHeight="1" x14ac:dyDescent="0.45">
      <c r="A140" s="10"/>
      <c r="B140" s="10"/>
      <c r="C140" s="10"/>
      <c r="D140" s="10" t="str">
        <f t="shared" si="9"/>
        <v/>
      </c>
      <c r="E140" s="10" t="str">
        <f t="shared" si="10"/>
        <v/>
      </c>
      <c r="F140" s="10"/>
      <c r="G140" s="10" t="str">
        <f t="shared" si="11"/>
        <v/>
      </c>
      <c r="H140" s="19" t="str">
        <f t="shared" si="12"/>
        <v/>
      </c>
    </row>
    <row r="141" spans="1:8" ht="18.600000000000001" customHeight="1" x14ac:dyDescent="0.45">
      <c r="A141" s="10"/>
      <c r="B141" s="10"/>
      <c r="C141" s="10"/>
      <c r="D141" s="10" t="str">
        <f t="shared" si="9"/>
        <v/>
      </c>
      <c r="E141" s="10" t="str">
        <f t="shared" si="10"/>
        <v/>
      </c>
      <c r="F141" s="10"/>
      <c r="G141" s="10" t="str">
        <f t="shared" si="11"/>
        <v/>
      </c>
      <c r="H141" s="19" t="str">
        <f t="shared" si="12"/>
        <v/>
      </c>
    </row>
    <row r="142" spans="1:8" ht="18.600000000000001" customHeight="1" x14ac:dyDescent="0.45">
      <c r="A142" s="10"/>
      <c r="B142" s="10"/>
      <c r="C142" s="10"/>
      <c r="D142" s="10" t="str">
        <f t="shared" si="9"/>
        <v/>
      </c>
      <c r="E142" s="10" t="str">
        <f t="shared" si="10"/>
        <v/>
      </c>
      <c r="F142" s="10"/>
      <c r="G142" s="10" t="str">
        <f t="shared" si="11"/>
        <v/>
      </c>
      <c r="H142" s="19" t="str">
        <f t="shared" si="12"/>
        <v/>
      </c>
    </row>
    <row r="143" spans="1:8" ht="18.600000000000001" customHeight="1" x14ac:dyDescent="0.45">
      <c r="A143" s="10"/>
      <c r="B143" s="10"/>
      <c r="C143" s="10"/>
      <c r="D143" s="10" t="str">
        <f t="shared" si="9"/>
        <v/>
      </c>
      <c r="E143" s="10" t="str">
        <f t="shared" si="10"/>
        <v/>
      </c>
      <c r="F143" s="10"/>
      <c r="G143" s="10" t="str">
        <f t="shared" si="11"/>
        <v/>
      </c>
      <c r="H143" s="19" t="str">
        <f t="shared" si="12"/>
        <v/>
      </c>
    </row>
    <row r="144" spans="1:8" ht="18.600000000000001" customHeight="1" x14ac:dyDescent="0.45">
      <c r="A144" s="10"/>
      <c r="B144" s="10"/>
      <c r="C144" s="10"/>
      <c r="D144" s="10" t="str">
        <f t="shared" si="9"/>
        <v/>
      </c>
      <c r="E144" s="10" t="str">
        <f t="shared" si="10"/>
        <v/>
      </c>
      <c r="F144" s="10"/>
      <c r="G144" s="10" t="str">
        <f t="shared" si="11"/>
        <v/>
      </c>
      <c r="H144" s="19" t="str">
        <f t="shared" si="12"/>
        <v/>
      </c>
    </row>
    <row r="145" spans="1:8" ht="18.600000000000001" customHeight="1" x14ac:dyDescent="0.45">
      <c r="A145" s="10"/>
      <c r="B145" s="10"/>
      <c r="C145" s="10"/>
      <c r="D145" s="10" t="str">
        <f t="shared" si="9"/>
        <v/>
      </c>
      <c r="E145" s="10" t="str">
        <f t="shared" si="10"/>
        <v/>
      </c>
      <c r="F145" s="10"/>
      <c r="G145" s="10" t="str">
        <f t="shared" si="11"/>
        <v/>
      </c>
      <c r="H145" s="19" t="str">
        <f t="shared" si="12"/>
        <v/>
      </c>
    </row>
    <row r="146" spans="1:8" ht="18.600000000000001" customHeight="1" x14ac:dyDescent="0.45">
      <c r="A146" s="10"/>
      <c r="B146" s="10"/>
      <c r="C146" s="10"/>
      <c r="D146" s="10" t="str">
        <f t="shared" si="9"/>
        <v/>
      </c>
      <c r="E146" s="10" t="str">
        <f t="shared" si="10"/>
        <v/>
      </c>
      <c r="F146" s="10"/>
      <c r="G146" s="10" t="str">
        <f t="shared" si="11"/>
        <v/>
      </c>
      <c r="H146" s="19" t="str">
        <f t="shared" si="12"/>
        <v/>
      </c>
    </row>
    <row r="147" spans="1:8" ht="18.600000000000001" customHeight="1" x14ac:dyDescent="0.45">
      <c r="A147" s="10"/>
      <c r="B147" s="10"/>
      <c r="C147" s="10"/>
      <c r="D147" s="10" t="str">
        <f t="shared" si="9"/>
        <v/>
      </c>
      <c r="E147" s="10" t="str">
        <f t="shared" si="10"/>
        <v/>
      </c>
      <c r="F147" s="10"/>
      <c r="G147" s="10" t="str">
        <f t="shared" si="11"/>
        <v/>
      </c>
      <c r="H147" s="19" t="str">
        <f t="shared" si="12"/>
        <v/>
      </c>
    </row>
    <row r="148" spans="1:8" ht="18.600000000000001" customHeight="1" x14ac:dyDescent="0.45">
      <c r="A148" s="10"/>
      <c r="B148" s="10"/>
      <c r="C148" s="10"/>
      <c r="D148" s="10" t="str">
        <f t="shared" si="9"/>
        <v/>
      </c>
      <c r="E148" s="10" t="str">
        <f t="shared" si="10"/>
        <v/>
      </c>
      <c r="F148" s="10"/>
      <c r="G148" s="10" t="str">
        <f t="shared" si="11"/>
        <v/>
      </c>
      <c r="H148" s="19" t="str">
        <f t="shared" si="12"/>
        <v/>
      </c>
    </row>
    <row r="149" spans="1:8" ht="18.600000000000001" customHeight="1" x14ac:dyDescent="0.45">
      <c r="A149" s="10"/>
      <c r="B149" s="10"/>
      <c r="C149" s="10"/>
      <c r="D149" s="10" t="str">
        <f t="shared" si="9"/>
        <v/>
      </c>
      <c r="E149" s="10" t="str">
        <f t="shared" si="10"/>
        <v/>
      </c>
      <c r="F149" s="10"/>
      <c r="G149" s="10" t="str">
        <f t="shared" si="11"/>
        <v/>
      </c>
      <c r="H149" s="19" t="str">
        <f t="shared" si="12"/>
        <v/>
      </c>
    </row>
    <row r="150" spans="1:8" ht="18.600000000000001" customHeight="1" x14ac:dyDescent="0.45">
      <c r="A150" s="10"/>
      <c r="B150" s="10"/>
      <c r="C150" s="10"/>
      <c r="D150" s="10" t="str">
        <f t="shared" si="9"/>
        <v/>
      </c>
      <c r="E150" s="10" t="str">
        <f t="shared" si="10"/>
        <v/>
      </c>
      <c r="F150" s="10"/>
      <c r="G150" s="10" t="str">
        <f t="shared" si="11"/>
        <v/>
      </c>
      <c r="H150" s="19" t="str">
        <f t="shared" si="12"/>
        <v/>
      </c>
    </row>
    <row r="151" spans="1:8" ht="18.600000000000001" customHeight="1" x14ac:dyDescent="0.45">
      <c r="A151" s="10"/>
      <c r="B151" s="10"/>
      <c r="C151" s="10"/>
      <c r="D151" s="10" t="str">
        <f t="shared" si="9"/>
        <v/>
      </c>
      <c r="E151" s="10" t="str">
        <f t="shared" si="10"/>
        <v/>
      </c>
      <c r="F151" s="10"/>
      <c r="G151" s="10" t="str">
        <f t="shared" si="11"/>
        <v/>
      </c>
      <c r="H151" s="19" t="str">
        <f t="shared" si="12"/>
        <v/>
      </c>
    </row>
    <row r="152" spans="1:8" ht="18.600000000000001" customHeight="1" x14ac:dyDescent="0.45">
      <c r="A152" s="10"/>
      <c r="B152" s="10"/>
      <c r="C152" s="10"/>
      <c r="D152" s="10" t="str">
        <f t="shared" si="9"/>
        <v/>
      </c>
      <c r="E152" s="10" t="str">
        <f t="shared" si="10"/>
        <v/>
      </c>
      <c r="F152" s="10"/>
      <c r="G152" s="10" t="str">
        <f t="shared" si="11"/>
        <v/>
      </c>
      <c r="H152" s="19" t="str">
        <f t="shared" si="12"/>
        <v/>
      </c>
    </row>
    <row r="153" spans="1:8" ht="18.600000000000001" customHeight="1" x14ac:dyDescent="0.45">
      <c r="A153" s="10"/>
      <c r="B153" s="10"/>
      <c r="C153" s="10"/>
      <c r="D153" s="10" t="str">
        <f t="shared" si="9"/>
        <v/>
      </c>
      <c r="E153" s="10" t="str">
        <f t="shared" si="10"/>
        <v/>
      </c>
      <c r="F153" s="10"/>
      <c r="G153" s="10" t="str">
        <f t="shared" si="11"/>
        <v/>
      </c>
      <c r="H153" s="19" t="str">
        <f t="shared" si="12"/>
        <v/>
      </c>
    </row>
    <row r="154" spans="1:8" ht="18.600000000000001" customHeight="1" x14ac:dyDescent="0.45">
      <c r="A154" s="10"/>
      <c r="B154" s="10"/>
      <c r="C154" s="10"/>
      <c r="D154" s="10" t="str">
        <f t="shared" si="9"/>
        <v/>
      </c>
      <c r="E154" s="10" t="str">
        <f t="shared" si="10"/>
        <v/>
      </c>
      <c r="F154" s="10"/>
      <c r="G154" s="10" t="str">
        <f t="shared" si="11"/>
        <v/>
      </c>
      <c r="H154" s="19" t="str">
        <f t="shared" si="12"/>
        <v/>
      </c>
    </row>
    <row r="155" spans="1:8" ht="18.600000000000001" customHeight="1" x14ac:dyDescent="0.45">
      <c r="A155" s="10"/>
      <c r="B155" s="10"/>
      <c r="C155" s="10"/>
      <c r="D155" s="10" t="str">
        <f t="shared" si="9"/>
        <v/>
      </c>
      <c r="E155" s="10" t="str">
        <f t="shared" si="10"/>
        <v/>
      </c>
      <c r="F155" s="10"/>
      <c r="G155" s="10" t="str">
        <f t="shared" si="11"/>
        <v/>
      </c>
      <c r="H155" s="19" t="str">
        <f t="shared" si="12"/>
        <v/>
      </c>
    </row>
    <row r="156" spans="1:8" ht="18.600000000000001" customHeight="1" x14ac:dyDescent="0.45">
      <c r="A156" s="10"/>
      <c r="B156" s="10"/>
      <c r="C156" s="10"/>
      <c r="D156" s="10" t="str">
        <f t="shared" si="9"/>
        <v/>
      </c>
      <c r="E156" s="10" t="str">
        <f t="shared" si="10"/>
        <v/>
      </c>
      <c r="F156" s="10"/>
      <c r="G156" s="10" t="str">
        <f t="shared" si="11"/>
        <v/>
      </c>
      <c r="H156" s="19" t="str">
        <f t="shared" si="12"/>
        <v/>
      </c>
    </row>
    <row r="157" spans="1:8" ht="18.600000000000001" customHeight="1" x14ac:dyDescent="0.45">
      <c r="A157" s="10"/>
      <c r="B157" s="10"/>
      <c r="C157" s="10"/>
      <c r="D157" s="10" t="str">
        <f t="shared" si="9"/>
        <v/>
      </c>
      <c r="E157" s="10" t="str">
        <f t="shared" si="10"/>
        <v/>
      </c>
      <c r="F157" s="10"/>
      <c r="G157" s="10" t="str">
        <f t="shared" si="11"/>
        <v/>
      </c>
      <c r="H157" s="19" t="str">
        <f t="shared" si="12"/>
        <v/>
      </c>
    </row>
    <row r="158" spans="1:8" ht="18.600000000000001" customHeight="1" x14ac:dyDescent="0.45">
      <c r="A158" s="10"/>
      <c r="B158" s="10"/>
      <c r="C158" s="10"/>
      <c r="D158" s="10" t="str">
        <f t="shared" si="9"/>
        <v/>
      </c>
      <c r="E158" s="10" t="str">
        <f t="shared" si="10"/>
        <v/>
      </c>
      <c r="F158" s="10"/>
      <c r="G158" s="10" t="str">
        <f t="shared" si="11"/>
        <v/>
      </c>
      <c r="H158" s="19" t="str">
        <f t="shared" si="12"/>
        <v/>
      </c>
    </row>
    <row r="159" spans="1:8" ht="18.600000000000001" customHeight="1" x14ac:dyDescent="0.45">
      <c r="A159" s="10"/>
      <c r="B159" s="10"/>
      <c r="C159" s="10"/>
      <c r="D159" s="10" t="str">
        <f t="shared" si="9"/>
        <v/>
      </c>
      <c r="E159" s="10" t="str">
        <f t="shared" si="10"/>
        <v/>
      </c>
      <c r="F159" s="10"/>
      <c r="G159" s="10" t="str">
        <f t="shared" si="11"/>
        <v/>
      </c>
      <c r="H159" s="19" t="str">
        <f t="shared" si="12"/>
        <v/>
      </c>
    </row>
    <row r="160" spans="1:8" ht="18.600000000000001" customHeight="1" x14ac:dyDescent="0.45">
      <c r="A160" s="10"/>
      <c r="B160" s="10"/>
      <c r="C160" s="10"/>
      <c r="D160" s="10" t="str">
        <f t="shared" si="9"/>
        <v/>
      </c>
      <c r="E160" s="10" t="str">
        <f t="shared" si="10"/>
        <v/>
      </c>
      <c r="F160" s="10"/>
      <c r="G160" s="10" t="str">
        <f t="shared" si="11"/>
        <v/>
      </c>
      <c r="H160" s="19" t="str">
        <f t="shared" si="12"/>
        <v/>
      </c>
    </row>
    <row r="161" spans="1:21" ht="18.600000000000001" customHeight="1" x14ac:dyDescent="0.45">
      <c r="A161" s="10"/>
      <c r="B161" s="10"/>
      <c r="C161" s="10"/>
      <c r="D161" s="10" t="str">
        <f t="shared" si="9"/>
        <v/>
      </c>
      <c r="E161" s="10" t="str">
        <f t="shared" si="10"/>
        <v/>
      </c>
      <c r="F161" s="10"/>
      <c r="G161" s="10" t="str">
        <f t="shared" si="11"/>
        <v/>
      </c>
      <c r="H161" s="19" t="str">
        <f t="shared" si="12"/>
        <v/>
      </c>
    </row>
    <row r="162" spans="1:21" ht="18.600000000000001" customHeight="1" x14ac:dyDescent="0.45">
      <c r="A162" s="10"/>
      <c r="B162" s="10"/>
      <c r="C162" s="10"/>
      <c r="D162" s="10" t="str">
        <f t="shared" si="9"/>
        <v/>
      </c>
      <c r="E162" s="10" t="str">
        <f t="shared" si="10"/>
        <v/>
      </c>
      <c r="F162" s="10"/>
      <c r="G162" s="10" t="str">
        <f t="shared" si="11"/>
        <v/>
      </c>
      <c r="H162" s="19" t="str">
        <f t="shared" si="12"/>
        <v/>
      </c>
    </row>
    <row r="163" spans="1:21" ht="18.600000000000001" customHeight="1" x14ac:dyDescent="0.45">
      <c r="A163" s="10"/>
      <c r="B163" s="10"/>
      <c r="C163" s="10"/>
      <c r="D163" s="10" t="str">
        <f t="shared" si="9"/>
        <v/>
      </c>
      <c r="E163" s="10" t="str">
        <f t="shared" si="10"/>
        <v/>
      </c>
      <c r="F163" s="10"/>
      <c r="G163" s="10" t="str">
        <f t="shared" si="11"/>
        <v/>
      </c>
      <c r="H163" s="19" t="str">
        <f t="shared" si="12"/>
        <v/>
      </c>
    </row>
    <row r="164" spans="1:21" ht="18.600000000000001" customHeight="1" x14ac:dyDescent="0.45">
      <c r="A164" s="10"/>
      <c r="B164" s="10"/>
      <c r="C164" s="10"/>
      <c r="D164" s="10" t="str">
        <f t="shared" si="9"/>
        <v/>
      </c>
      <c r="E164" s="10" t="str">
        <f t="shared" si="10"/>
        <v/>
      </c>
      <c r="F164" s="10"/>
      <c r="G164" s="10" t="str">
        <f t="shared" si="11"/>
        <v/>
      </c>
      <c r="H164" s="19" t="str">
        <f t="shared" si="12"/>
        <v/>
      </c>
    </row>
    <row r="165" spans="1:21" ht="18.600000000000001" customHeight="1" x14ac:dyDescent="0.45">
      <c r="A165" s="10"/>
      <c r="B165" s="10"/>
      <c r="C165" s="10"/>
      <c r="D165" s="10" t="str">
        <f t="shared" si="9"/>
        <v/>
      </c>
      <c r="E165" s="10" t="str">
        <f t="shared" si="10"/>
        <v/>
      </c>
      <c r="F165" s="10"/>
      <c r="G165" s="10" t="str">
        <f t="shared" si="11"/>
        <v/>
      </c>
      <c r="H165" s="19" t="str">
        <f t="shared" si="12"/>
        <v/>
      </c>
    </row>
    <row r="166" spans="1:21" ht="18.600000000000001" customHeight="1" x14ac:dyDescent="0.45">
      <c r="A166" s="10"/>
      <c r="B166" s="10"/>
      <c r="C166" s="10"/>
      <c r="D166" s="10" t="str">
        <f t="shared" si="9"/>
        <v/>
      </c>
      <c r="E166" s="10" t="str">
        <f t="shared" si="10"/>
        <v/>
      </c>
      <c r="F166" s="10"/>
      <c r="G166" s="10" t="str">
        <f t="shared" si="11"/>
        <v/>
      </c>
      <c r="H166" s="19" t="str">
        <f t="shared" si="12"/>
        <v/>
      </c>
    </row>
    <row r="167" spans="1:21" ht="18.600000000000001" customHeight="1" x14ac:dyDescent="0.45">
      <c r="A167" s="10"/>
      <c r="B167" s="10"/>
      <c r="C167" s="10"/>
      <c r="D167" s="10" t="str">
        <f t="shared" si="9"/>
        <v/>
      </c>
      <c r="E167" s="10" t="str">
        <f t="shared" si="10"/>
        <v/>
      </c>
      <c r="F167" s="10"/>
      <c r="G167" s="10" t="str">
        <f t="shared" si="11"/>
        <v/>
      </c>
      <c r="H167" s="19" t="str">
        <f t="shared" si="12"/>
        <v/>
      </c>
    </row>
    <row r="168" spans="1:21" ht="18.600000000000001" customHeight="1" x14ac:dyDescent="0.45">
      <c r="A168" s="10"/>
      <c r="B168" s="10"/>
      <c r="C168" s="10"/>
      <c r="D168" s="10" t="str">
        <f t="shared" si="9"/>
        <v/>
      </c>
      <c r="E168" s="10" t="str">
        <f t="shared" si="10"/>
        <v/>
      </c>
      <c r="F168" s="10"/>
      <c r="G168" s="10" t="str">
        <f t="shared" si="11"/>
        <v/>
      </c>
      <c r="H168" s="19" t="str">
        <f t="shared" si="12"/>
        <v/>
      </c>
    </row>
    <row r="169" spans="1:21" ht="18.600000000000001" customHeight="1" x14ac:dyDescent="0.45">
      <c r="A169" s="10"/>
      <c r="B169" s="10"/>
      <c r="C169" s="10"/>
      <c r="D169" s="10" t="str">
        <f>IFERROR(VLOOKUP(A169,$J$2:$K$19,2,FALSE),"")</f>
        <v/>
      </c>
      <c r="E169" s="10" t="str">
        <f>IFERROR(VLOOKUP(B169,$M$2:$N$115,2,FALSE),"")</f>
        <v/>
      </c>
      <c r="F169" s="10"/>
      <c r="G169" s="10" t="str">
        <f t="shared" si="11"/>
        <v/>
      </c>
      <c r="H169" s="19" t="str">
        <f t="shared" si="12"/>
        <v/>
      </c>
    </row>
    <row r="170" spans="1:21" ht="18.600000000000001" customHeight="1" x14ac:dyDescent="0.45">
      <c r="A170" s="10"/>
      <c r="B170" s="10"/>
      <c r="C170" s="10"/>
      <c r="D170" s="10" t="str">
        <f>IFERROR(VLOOKUP(A170,$J$2:$K$19,2,FALSE),"")</f>
        <v/>
      </c>
      <c r="E170" s="10" t="str">
        <f>IFERROR(VLOOKUP(B170,$M$2:$N$115,2,FALSE),"")</f>
        <v/>
      </c>
      <c r="F170" s="10"/>
      <c r="G170" s="10" t="str">
        <f t="shared" si="11"/>
        <v/>
      </c>
      <c r="H170" s="19" t="str">
        <f t="shared" si="12"/>
        <v/>
      </c>
    </row>
    <row r="171" spans="1:21" ht="18.600000000000001" customHeight="1" x14ac:dyDescent="0.45">
      <c r="A171" s="10"/>
      <c r="B171" s="10"/>
      <c r="C171" s="10"/>
      <c r="D171" s="10" t="str">
        <f>IFERROR(VLOOKUP(A171,$J$2:$K$19,2,FALSE),"")</f>
        <v/>
      </c>
      <c r="E171" s="10" t="str">
        <f>IFERROR(VLOOKUP(B171,$M$2:$N$115,2,FALSE),"")</f>
        <v/>
      </c>
      <c r="F171" s="10"/>
      <c r="G171" s="10" t="str">
        <f t="shared" si="11"/>
        <v/>
      </c>
      <c r="H171" s="19" t="str">
        <f t="shared" si="12"/>
        <v/>
      </c>
    </row>
    <row r="172" spans="1:21" ht="18.600000000000001" customHeight="1" x14ac:dyDescent="0.45">
      <c r="A172" s="10"/>
      <c r="B172" s="10"/>
      <c r="C172" s="10"/>
      <c r="D172" s="10" t="str">
        <f>IFERROR(VLOOKUP(A172,$J$2:$K$19,2,FALSE),"")</f>
        <v/>
      </c>
      <c r="E172" s="10" t="str">
        <f>IFERROR(VLOOKUP(B172,$M$2:$N$115,2,FALSE),"")</f>
        <v/>
      </c>
      <c r="F172" s="10"/>
      <c r="G172" s="10" t="str">
        <f t="shared" si="11"/>
        <v/>
      </c>
      <c r="H172" s="19" t="str">
        <f t="shared" si="12"/>
        <v/>
      </c>
    </row>
    <row r="173" spans="1:21" ht="18.600000000000001" customHeight="1" x14ac:dyDescent="0.45">
      <c r="A173" s="10"/>
      <c r="B173" s="10"/>
      <c r="C173" s="10"/>
      <c r="D173" s="10" t="str">
        <f>IFERROR(VLOOKUP(A173,$J$2:$K$19,2,FALSE),"")</f>
        <v/>
      </c>
      <c r="E173" s="10" t="str">
        <f>IFERROR(VLOOKUP(B173,$M$2:$N$115,2,FALSE),"")</f>
        <v/>
      </c>
      <c r="F173" s="10"/>
      <c r="G173" s="10" t="str">
        <f t="shared" si="11"/>
        <v/>
      </c>
      <c r="H173" s="19" t="str">
        <f t="shared" si="12"/>
        <v/>
      </c>
    </row>
    <row r="174" spans="1:21" ht="18.600000000000001" customHeight="1" x14ac:dyDescent="0.45">
      <c r="A174" s="10"/>
      <c r="B174" s="10"/>
      <c r="C174" s="10"/>
      <c r="D174" s="10" t="str">
        <f>IFERROR(VLOOKUP(A174,$J$2:$K$19,2,FALSE),"")</f>
        <v/>
      </c>
      <c r="E174" s="10" t="str">
        <f>IFERROR(VLOOKUP(B174,$M$2:$N$115,2,FALSE),"")</f>
        <v/>
      </c>
      <c r="F174" s="10"/>
      <c r="G174" s="10" t="str">
        <f t="shared" si="11"/>
        <v/>
      </c>
      <c r="H174" s="19" t="str">
        <f t="shared" si="12"/>
        <v/>
      </c>
    </row>
    <row r="175" spans="1:21" ht="18.600000000000001" customHeight="1" x14ac:dyDescent="0.45">
      <c r="A175" s="10"/>
      <c r="B175" s="10"/>
      <c r="C175" s="10"/>
      <c r="D175" s="10" t="str">
        <f>IFERROR(VLOOKUP(A175,$J$2:$K$19,2,FALSE),"")</f>
        <v/>
      </c>
      <c r="E175" s="10" t="str">
        <f>IFERROR(VLOOKUP(B175,$M$2:$N$115,2,FALSE),"")</f>
        <v/>
      </c>
      <c r="F175" s="10"/>
      <c r="G175" s="10" t="str">
        <f t="shared" si="11"/>
        <v/>
      </c>
      <c r="H175" s="19" t="str">
        <f t="shared" si="12"/>
        <v/>
      </c>
    </row>
    <row r="176" spans="1:21" ht="18.600000000000001" customHeight="1" x14ac:dyDescent="0.45">
      <c r="A176" s="10"/>
      <c r="B176" s="10"/>
      <c r="C176" s="10"/>
      <c r="D176" s="10" t="str">
        <f>IFERROR(VLOOKUP(A176,$J$2:$K$19,2,FALSE),"")</f>
        <v/>
      </c>
      <c r="E176" s="10" t="str">
        <f>IFERROR(VLOOKUP(B176,$M$2:$N$115,2,FALSE),"")</f>
        <v/>
      </c>
      <c r="F176" s="10"/>
      <c r="G176" s="10" t="str">
        <f t="shared" si="11"/>
        <v/>
      </c>
      <c r="H176" s="19" t="str">
        <f t="shared" si="12"/>
        <v/>
      </c>
      <c r="I176" s="3"/>
      <c r="J176" s="3"/>
      <c r="K176" s="3"/>
      <c r="L176" s="3"/>
      <c r="O176" s="3"/>
      <c r="P176" s="3"/>
      <c r="Q176" s="3"/>
      <c r="R176" s="3"/>
      <c r="S176" s="3"/>
      <c r="T176" s="3"/>
      <c r="U176" s="3"/>
    </row>
    <row r="177" spans="1:21" ht="18.600000000000001" customHeight="1" x14ac:dyDescent="0.45">
      <c r="A177" s="10"/>
      <c r="B177" s="10"/>
      <c r="C177" s="10"/>
      <c r="D177" s="10" t="str">
        <f>IFERROR(VLOOKUP(A177,$J$2:$K$19,2,FALSE),"")</f>
        <v/>
      </c>
      <c r="E177" s="10" t="str">
        <f>IFERROR(VLOOKUP(B177,$M$2:$N$115,2,FALSE),"")</f>
        <v/>
      </c>
      <c r="F177" s="10"/>
      <c r="G177" s="10" t="str">
        <f t="shared" si="11"/>
        <v/>
      </c>
      <c r="H177" s="19" t="str">
        <f t="shared" si="12"/>
        <v/>
      </c>
      <c r="I177" s="3"/>
      <c r="J177" s="3"/>
      <c r="K177" s="3"/>
      <c r="L177" s="3"/>
      <c r="O177" s="3"/>
      <c r="P177" s="3"/>
      <c r="Q177" s="3"/>
      <c r="R177" s="3"/>
      <c r="S177" s="3"/>
      <c r="T177" s="3"/>
      <c r="U177" s="3"/>
    </row>
    <row r="178" spans="1:21" ht="18.600000000000001" customHeight="1" x14ac:dyDescent="0.45">
      <c r="A178" s="10"/>
      <c r="B178" s="10"/>
      <c r="C178" s="10"/>
      <c r="D178" s="10" t="str">
        <f>IFERROR(VLOOKUP(A178,$J$2:$K$19,2,FALSE),"")</f>
        <v/>
      </c>
      <c r="E178" s="10" t="str">
        <f>IFERROR(VLOOKUP(B178,$M$2:$N$115,2,FALSE),"")</f>
        <v/>
      </c>
      <c r="F178" s="10"/>
      <c r="G178" s="10" t="str">
        <f t="shared" si="11"/>
        <v/>
      </c>
      <c r="H178" s="19" t="str">
        <f t="shared" si="12"/>
        <v/>
      </c>
      <c r="I178" s="5"/>
      <c r="J178" s="3"/>
      <c r="K178" s="3"/>
      <c r="L178" s="5"/>
      <c r="O178" s="5"/>
      <c r="P178" s="3"/>
      <c r="Q178" s="3"/>
      <c r="R178" s="3"/>
      <c r="S178" s="3"/>
      <c r="T178" s="5"/>
      <c r="U178" s="3"/>
    </row>
    <row r="179" spans="1:21" ht="18.600000000000001" customHeight="1" x14ac:dyDescent="0.45">
      <c r="A179" s="10"/>
      <c r="B179" s="10"/>
      <c r="C179" s="10"/>
      <c r="D179" s="10" t="str">
        <f>IFERROR(VLOOKUP(A179,$J$2:$K$19,2,FALSE),"")</f>
        <v/>
      </c>
      <c r="E179" s="10" t="str">
        <f>IFERROR(VLOOKUP(B179,$M$2:$N$115,2,FALSE),"")</f>
        <v/>
      </c>
      <c r="F179" s="10"/>
      <c r="G179" s="10" t="str">
        <f t="shared" si="11"/>
        <v/>
      </c>
      <c r="H179" s="19" t="str">
        <f t="shared" si="12"/>
        <v/>
      </c>
      <c r="I179" s="3"/>
      <c r="J179" s="3"/>
      <c r="K179" s="3"/>
      <c r="L179" s="3"/>
      <c r="O179" s="3"/>
      <c r="P179" s="3"/>
      <c r="Q179" s="3"/>
      <c r="R179" s="3"/>
      <c r="S179" s="3"/>
      <c r="T179" s="3"/>
      <c r="U179" s="3"/>
    </row>
    <row r="180" spans="1:21" ht="18.600000000000001" customHeight="1" x14ac:dyDescent="0.45">
      <c r="A180" s="10"/>
      <c r="B180" s="10"/>
      <c r="C180" s="10"/>
      <c r="D180" s="10" t="str">
        <f>IFERROR(VLOOKUP(A180,$J$2:$K$19,2,FALSE),"")</f>
        <v/>
      </c>
      <c r="E180" s="10" t="str">
        <f>IFERROR(VLOOKUP(B180,$M$2:$N$115,2,FALSE),"")</f>
        <v/>
      </c>
      <c r="F180" s="10"/>
      <c r="G180" s="10" t="str">
        <f t="shared" si="11"/>
        <v/>
      </c>
      <c r="H180" s="19" t="str">
        <f t="shared" si="12"/>
        <v/>
      </c>
      <c r="I180" s="3"/>
      <c r="J180" s="3"/>
      <c r="K180" s="3"/>
      <c r="L180" s="3"/>
      <c r="O180" s="3"/>
      <c r="P180" s="3"/>
      <c r="Q180" s="3"/>
      <c r="R180" s="3"/>
      <c r="S180" s="3"/>
      <c r="T180" s="3"/>
      <c r="U180" s="3"/>
    </row>
    <row r="181" spans="1:21" ht="18.600000000000001" customHeight="1" x14ac:dyDescent="0.45">
      <c r="A181" s="10"/>
      <c r="B181" s="10"/>
      <c r="C181" s="10"/>
      <c r="D181" s="10" t="str">
        <f>IFERROR(VLOOKUP(A181,$J$2:$K$19,2,FALSE),"")</f>
        <v/>
      </c>
      <c r="E181" s="10" t="str">
        <f>IFERROR(VLOOKUP(B181,$M$2:$N$115,2,FALSE),"")</f>
        <v/>
      </c>
      <c r="F181" s="10"/>
      <c r="G181" s="10" t="str">
        <f t="shared" si="11"/>
        <v/>
      </c>
      <c r="H181" s="19" t="str">
        <f t="shared" si="12"/>
        <v/>
      </c>
    </row>
    <row r="182" spans="1:21" ht="18.600000000000001" customHeight="1" x14ac:dyDescent="0.45">
      <c r="A182" s="10"/>
      <c r="B182" s="10"/>
      <c r="C182" s="10"/>
      <c r="D182" s="10" t="str">
        <f>IFERROR(VLOOKUP(A182,$J$2:$K$19,2,FALSE),"")</f>
        <v/>
      </c>
      <c r="E182" s="10" t="str">
        <f>IFERROR(VLOOKUP(B182,$M$2:$N$115,2,FALSE),"")</f>
        <v/>
      </c>
      <c r="F182" s="10"/>
      <c r="G182" s="10" t="str">
        <f t="shared" si="11"/>
        <v/>
      </c>
      <c r="H182" s="19" t="str">
        <f t="shared" si="12"/>
        <v/>
      </c>
    </row>
    <row r="183" spans="1:21" ht="18.600000000000001" customHeight="1" x14ac:dyDescent="0.45">
      <c r="A183" s="10"/>
      <c r="B183" s="10"/>
      <c r="C183" s="10"/>
      <c r="D183" s="10" t="str">
        <f>IFERROR(VLOOKUP(A183,$J$2:$K$19,2,FALSE),"")</f>
        <v/>
      </c>
      <c r="E183" s="10" t="str">
        <f>IFERROR(VLOOKUP(B183,$M$2:$N$115,2,FALSE),"")</f>
        <v/>
      </c>
      <c r="F183" s="10"/>
      <c r="G183" s="10" t="str">
        <f t="shared" si="11"/>
        <v/>
      </c>
      <c r="H183" s="19" t="str">
        <f t="shared" si="12"/>
        <v/>
      </c>
    </row>
    <row r="184" spans="1:21" ht="18.600000000000001" customHeight="1" x14ac:dyDescent="0.45">
      <c r="A184" s="10"/>
      <c r="B184" s="10"/>
      <c r="C184" s="10"/>
      <c r="D184" s="10" t="str">
        <f>IFERROR(VLOOKUP(A184,$J$2:$K$19,2,FALSE),"")</f>
        <v/>
      </c>
      <c r="E184" s="10" t="str">
        <f>IFERROR(VLOOKUP(B184,$M$2:$N$115,2,FALSE),"")</f>
        <v/>
      </c>
      <c r="F184" s="10"/>
      <c r="G184" s="10" t="str">
        <f t="shared" si="11"/>
        <v/>
      </c>
      <c r="H184" s="19" t="str">
        <f t="shared" si="12"/>
        <v/>
      </c>
    </row>
    <row r="185" spans="1:21" ht="18.600000000000001" customHeight="1" x14ac:dyDescent="0.45">
      <c r="A185" s="10"/>
      <c r="B185" s="10"/>
      <c r="C185" s="10"/>
      <c r="D185" s="10" t="str">
        <f>IFERROR(VLOOKUP(A185,$J$2:$K$19,2,FALSE),"")</f>
        <v/>
      </c>
      <c r="E185" s="10" t="str">
        <f>IFERROR(VLOOKUP(B185,$M$2:$N$115,2,FALSE),"")</f>
        <v/>
      </c>
      <c r="F185" s="10"/>
      <c r="G185" s="10" t="str">
        <f t="shared" si="11"/>
        <v/>
      </c>
      <c r="H185" s="19" t="str">
        <f t="shared" si="12"/>
        <v/>
      </c>
    </row>
    <row r="186" spans="1:21" ht="18.600000000000001" customHeight="1" x14ac:dyDescent="0.45">
      <c r="A186" s="10"/>
      <c r="B186" s="10"/>
      <c r="C186" s="10"/>
      <c r="D186" s="10" t="str">
        <f>IFERROR(VLOOKUP(A186,$J$2:$K$19,2,FALSE),"")</f>
        <v/>
      </c>
      <c r="E186" s="10" t="str">
        <f>IFERROR(VLOOKUP(B186,$M$2:$N$115,2,FALSE),"")</f>
        <v/>
      </c>
      <c r="F186" s="10"/>
      <c r="G186" s="10" t="str">
        <f t="shared" si="11"/>
        <v/>
      </c>
      <c r="H186" s="19" t="str">
        <f t="shared" si="12"/>
        <v/>
      </c>
    </row>
    <row r="187" spans="1:21" ht="18.600000000000001" customHeight="1" x14ac:dyDescent="0.45">
      <c r="A187" s="10"/>
      <c r="B187" s="10"/>
      <c r="C187" s="10"/>
      <c r="D187" s="10" t="str">
        <f>IFERROR(VLOOKUP(A187,$J$2:$K$19,2,FALSE),"")</f>
        <v/>
      </c>
      <c r="E187" s="10" t="str">
        <f>IFERROR(VLOOKUP(B187,$M$2:$N$115,2,FALSE),"")</f>
        <v/>
      </c>
      <c r="F187" s="10"/>
      <c r="G187" s="10" t="str">
        <f t="shared" si="11"/>
        <v/>
      </c>
      <c r="H187" s="19" t="str">
        <f t="shared" si="12"/>
        <v/>
      </c>
    </row>
    <row r="188" spans="1:21" ht="18.600000000000001" customHeight="1" x14ac:dyDescent="0.45">
      <c r="A188" s="10"/>
      <c r="B188" s="10"/>
      <c r="C188" s="10"/>
      <c r="D188" s="10" t="str">
        <f>IFERROR(VLOOKUP(A188,$J$2:$K$19,2,FALSE),"")</f>
        <v/>
      </c>
      <c r="E188" s="10" t="str">
        <f>IFERROR(VLOOKUP(B188,$M$2:$N$115,2,FALSE),"")</f>
        <v/>
      </c>
      <c r="F188" s="10"/>
      <c r="G188" s="10" t="str">
        <f t="shared" si="11"/>
        <v/>
      </c>
      <c r="H188" s="19" t="str">
        <f t="shared" si="12"/>
        <v/>
      </c>
    </row>
    <row r="189" spans="1:21" ht="18.600000000000001" customHeight="1" x14ac:dyDescent="0.45">
      <c r="A189" s="10"/>
      <c r="B189" s="10"/>
      <c r="C189" s="10"/>
      <c r="D189" s="10" t="str">
        <f>IFERROR(VLOOKUP(A189,$J$2:$K$19,2,FALSE),"")</f>
        <v/>
      </c>
      <c r="E189" s="10" t="str">
        <f>IFERROR(VLOOKUP(B189,$M$2:$N$115,2,FALSE),"")</f>
        <v/>
      </c>
      <c r="F189" s="10"/>
      <c r="G189" s="10" t="str">
        <f t="shared" si="11"/>
        <v/>
      </c>
      <c r="H189" s="19" t="str">
        <f t="shared" si="12"/>
        <v/>
      </c>
    </row>
    <row r="190" spans="1:21" ht="18.600000000000001" customHeight="1" x14ac:dyDescent="0.45">
      <c r="A190" s="10"/>
      <c r="B190" s="10"/>
      <c r="C190" s="10"/>
      <c r="D190" s="10" t="str">
        <f>IFERROR(VLOOKUP(A190,$J$2:$K$19,2,FALSE),"")</f>
        <v/>
      </c>
      <c r="E190" s="10" t="str">
        <f>IFERROR(VLOOKUP(B190,$M$2:$N$115,2,FALSE),"")</f>
        <v/>
      </c>
      <c r="F190" s="10"/>
      <c r="G190" s="10" t="str">
        <f t="shared" si="11"/>
        <v/>
      </c>
      <c r="H190" s="19" t="str">
        <f t="shared" si="12"/>
        <v/>
      </c>
    </row>
    <row r="191" spans="1:21" ht="18.600000000000001" customHeight="1" x14ac:dyDescent="0.45">
      <c r="A191" s="10"/>
      <c r="B191" s="10"/>
      <c r="C191" s="10"/>
      <c r="D191" s="10" t="str">
        <f t="shared" si="9"/>
        <v/>
      </c>
      <c r="E191" s="10"/>
      <c r="F191" s="10"/>
      <c r="G191" s="10"/>
      <c r="H191" s="19" t="str">
        <f t="shared" si="12"/>
        <v/>
      </c>
    </row>
    <row r="192" spans="1:21" ht="18.600000000000001" customHeight="1" x14ac:dyDescent="0.45">
      <c r="A192" s="10"/>
      <c r="B192" s="10"/>
      <c r="C192" s="10"/>
      <c r="D192" s="10" t="str">
        <f t="shared" si="9"/>
        <v/>
      </c>
      <c r="E192" s="10"/>
      <c r="F192" s="10"/>
      <c r="G192" s="10"/>
      <c r="H192" s="19" t="str">
        <f t="shared" si="12"/>
        <v/>
      </c>
    </row>
    <row r="193" spans="1:8" ht="18.600000000000001" customHeight="1" x14ac:dyDescent="0.45">
      <c r="A193" s="10"/>
      <c r="B193" s="10"/>
      <c r="C193" s="10"/>
      <c r="D193" s="10" t="str">
        <f t="shared" si="9"/>
        <v/>
      </c>
      <c r="E193" s="10"/>
      <c r="F193" s="10"/>
      <c r="G193" s="10"/>
      <c r="H193" s="19" t="str">
        <f t="shared" si="12"/>
        <v/>
      </c>
    </row>
    <row r="194" spans="1:8" ht="18.600000000000001" customHeight="1" x14ac:dyDescent="0.45">
      <c r="A194" s="10"/>
      <c r="B194" s="10"/>
      <c r="C194" s="10"/>
      <c r="D194" s="10" t="str">
        <f t="shared" si="9"/>
        <v/>
      </c>
      <c r="E194" s="10"/>
      <c r="F194" s="10"/>
      <c r="G194" s="10"/>
      <c r="H194" s="19" t="str">
        <f t="shared" si="12"/>
        <v/>
      </c>
    </row>
    <row r="195" spans="1:8" ht="18.600000000000001" customHeight="1" x14ac:dyDescent="0.45">
      <c r="A195" s="10"/>
      <c r="B195" s="10"/>
      <c r="C195" s="10"/>
      <c r="D195" s="10" t="str">
        <f t="shared" ref="D195:D202" si="13">IFERROR(VLOOKUP(A195,$J$2:$K$19,2,FALSE),"")</f>
        <v/>
      </c>
      <c r="E195" s="10"/>
      <c r="F195" s="10"/>
      <c r="G195" s="10"/>
      <c r="H195" s="19" t="str">
        <f t="shared" ref="H195:H202" si="14">IF(G195="","",COUNTIF($G$2:$G$190,G195))</f>
        <v/>
      </c>
    </row>
    <row r="196" spans="1:8" ht="18.600000000000001" customHeight="1" x14ac:dyDescent="0.45">
      <c r="A196" s="10"/>
      <c r="B196" s="10"/>
      <c r="C196" s="10"/>
      <c r="D196" s="10" t="str">
        <f t="shared" si="13"/>
        <v/>
      </c>
      <c r="E196" s="11"/>
      <c r="F196" s="10"/>
      <c r="G196" s="10"/>
      <c r="H196" s="19" t="str">
        <f t="shared" si="14"/>
        <v/>
      </c>
    </row>
    <row r="197" spans="1:8" ht="18.600000000000001" customHeight="1" x14ac:dyDescent="0.45">
      <c r="A197" s="10"/>
      <c r="B197" s="10"/>
      <c r="C197" s="10"/>
      <c r="D197" s="10" t="str">
        <f t="shared" si="13"/>
        <v/>
      </c>
      <c r="E197" s="11"/>
      <c r="F197" s="10"/>
      <c r="G197" s="10"/>
      <c r="H197" s="19" t="str">
        <f t="shared" si="14"/>
        <v/>
      </c>
    </row>
    <row r="198" spans="1:8" ht="18.600000000000001" customHeight="1" x14ac:dyDescent="0.45">
      <c r="A198" s="10"/>
      <c r="B198" s="10"/>
      <c r="C198" s="10"/>
      <c r="D198" s="10" t="str">
        <f t="shared" si="13"/>
        <v/>
      </c>
      <c r="E198" s="11"/>
      <c r="F198" s="10"/>
      <c r="G198" s="10"/>
      <c r="H198" s="19" t="str">
        <f t="shared" si="14"/>
        <v/>
      </c>
    </row>
    <row r="199" spans="1:8" ht="18.600000000000001" customHeight="1" x14ac:dyDescent="0.45">
      <c r="A199" s="10"/>
      <c r="B199" s="10"/>
      <c r="C199" s="10"/>
      <c r="D199" s="10" t="str">
        <f t="shared" si="13"/>
        <v/>
      </c>
      <c r="E199" s="11"/>
      <c r="F199" s="10"/>
      <c r="G199" s="10"/>
      <c r="H199" s="19" t="str">
        <f t="shared" si="14"/>
        <v/>
      </c>
    </row>
    <row r="200" spans="1:8" ht="18.600000000000001" customHeight="1" x14ac:dyDescent="0.45">
      <c r="A200" s="10"/>
      <c r="B200" s="10"/>
      <c r="C200" s="10"/>
      <c r="D200" s="10" t="str">
        <f t="shared" si="13"/>
        <v/>
      </c>
      <c r="E200" s="11"/>
      <c r="F200" s="10"/>
      <c r="G200" s="10"/>
      <c r="H200" s="19" t="str">
        <f t="shared" si="14"/>
        <v/>
      </c>
    </row>
    <row r="201" spans="1:8" ht="18.600000000000001" customHeight="1" x14ac:dyDescent="0.45">
      <c r="A201" s="10"/>
      <c r="B201" s="10"/>
      <c r="C201" s="10"/>
      <c r="D201" s="10" t="str">
        <f t="shared" si="13"/>
        <v/>
      </c>
      <c r="E201" s="11"/>
      <c r="F201" s="10"/>
      <c r="G201" s="10"/>
      <c r="H201" s="19" t="str">
        <f t="shared" si="14"/>
        <v/>
      </c>
    </row>
    <row r="202" spans="1:8" ht="18.600000000000001" customHeight="1" x14ac:dyDescent="0.45">
      <c r="A202" s="10"/>
      <c r="B202" s="10"/>
      <c r="C202" s="10"/>
      <c r="D202" s="10" t="str">
        <f t="shared" si="13"/>
        <v/>
      </c>
      <c r="E202" s="11"/>
      <c r="F202" s="10"/>
      <c r="G202" s="10"/>
      <c r="H202" s="19" t="str">
        <f t="shared" si="14"/>
        <v/>
      </c>
    </row>
    <row r="245" spans="13:13" ht="18.600000000000001" customHeight="1" x14ac:dyDescent="0.45">
      <c r="M245" s="3">
        <f>COUNTA(_xlfn.ANCHORARRAY(M150))</f>
        <v>1</v>
      </c>
    </row>
  </sheetData>
  <phoneticPr fontId="1"/>
  <conditionalFormatting sqref="G2:H202">
    <cfRule type="cellIs" dxfId="1" priority="2" operator="equal">
      <formula>"親カテゴリ"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CC328-47C7-47A5-BE53-3531595D3D9E}">
  <sheetPr codeName="Sheet2"/>
  <dimension ref="A1:B60"/>
  <sheetViews>
    <sheetView zoomScale="85" zoomScaleNormal="85" workbookViewId="0">
      <selection activeCell="F22" sqref="F22"/>
    </sheetView>
    <sheetView workbookViewId="1"/>
  </sheetViews>
  <sheetFormatPr defaultRowHeight="18" x14ac:dyDescent="0.45"/>
  <cols>
    <col min="1" max="1" width="35.3984375" bestFit="1" customWidth="1"/>
    <col min="12" max="12" width="13.69921875" bestFit="1" customWidth="1"/>
  </cols>
  <sheetData>
    <row r="1" spans="1:2" x14ac:dyDescent="0.45">
      <c r="A1" s="1" t="s">
        <v>9</v>
      </c>
    </row>
    <row r="2" spans="1:2" x14ac:dyDescent="0.45">
      <c r="A2" s="1" t="s">
        <v>29</v>
      </c>
      <c r="B2" t="s">
        <v>10</v>
      </c>
    </row>
    <row r="3" spans="1:2" x14ac:dyDescent="0.45">
      <c r="A3" s="1" t="s">
        <v>30</v>
      </c>
      <c r="B3" t="s">
        <v>11</v>
      </c>
    </row>
    <row r="4" spans="1:2" x14ac:dyDescent="0.45">
      <c r="A4" s="1" t="s">
        <v>31</v>
      </c>
      <c r="B4" t="s">
        <v>12</v>
      </c>
    </row>
    <row r="5" spans="1:2" x14ac:dyDescent="0.45">
      <c r="A5" s="1" t="s">
        <v>32</v>
      </c>
      <c r="B5" t="s">
        <v>13</v>
      </c>
    </row>
    <row r="6" spans="1:2" x14ac:dyDescent="0.45">
      <c r="A6" s="1" t="s">
        <v>33</v>
      </c>
      <c r="B6" t="s">
        <v>14</v>
      </c>
    </row>
    <row r="7" spans="1:2" x14ac:dyDescent="0.45">
      <c r="A7" s="1" t="s">
        <v>34</v>
      </c>
      <c r="B7" t="s">
        <v>15</v>
      </c>
    </row>
    <row r="8" spans="1:2" x14ac:dyDescent="0.45">
      <c r="A8" s="1" t="s">
        <v>35</v>
      </c>
      <c r="B8" t="s">
        <v>16</v>
      </c>
    </row>
    <row r="9" spans="1:2" x14ac:dyDescent="0.45">
      <c r="A9" s="1" t="s">
        <v>36</v>
      </c>
      <c r="B9" t="s">
        <v>17</v>
      </c>
    </row>
    <row r="10" spans="1:2" x14ac:dyDescent="0.45">
      <c r="A10" s="1" t="s">
        <v>37</v>
      </c>
      <c r="B10" t="s">
        <v>18</v>
      </c>
    </row>
    <row r="11" spans="1:2" x14ac:dyDescent="0.45">
      <c r="A11" s="1" t="s">
        <v>38</v>
      </c>
      <c r="B11" t="s">
        <v>19</v>
      </c>
    </row>
    <row r="12" spans="1:2" x14ac:dyDescent="0.45">
      <c r="A12" s="1" t="s">
        <v>39</v>
      </c>
      <c r="B12" t="s">
        <v>20</v>
      </c>
    </row>
    <row r="13" spans="1:2" x14ac:dyDescent="0.45">
      <c r="A13" s="1" t="s">
        <v>40</v>
      </c>
      <c r="B13" t="s">
        <v>21</v>
      </c>
    </row>
    <row r="14" spans="1:2" x14ac:dyDescent="0.45">
      <c r="A14" s="1" t="s">
        <v>41</v>
      </c>
      <c r="B14" t="s">
        <v>22</v>
      </c>
    </row>
    <row r="15" spans="1:2" x14ac:dyDescent="0.45">
      <c r="A15" s="1" t="s">
        <v>42</v>
      </c>
      <c r="B15" t="s">
        <v>23</v>
      </c>
    </row>
    <row r="16" spans="1:2" x14ac:dyDescent="0.45">
      <c r="A16" s="1" t="s">
        <v>43</v>
      </c>
      <c r="B16" t="s">
        <v>24</v>
      </c>
    </row>
    <row r="17" spans="1:2" x14ac:dyDescent="0.45">
      <c r="A17" s="1" t="s">
        <v>44</v>
      </c>
      <c r="B17" t="s">
        <v>25</v>
      </c>
    </row>
    <row r="18" spans="1:2" x14ac:dyDescent="0.45">
      <c r="A18" s="1" t="s">
        <v>45</v>
      </c>
      <c r="B18" t="s">
        <v>26</v>
      </c>
    </row>
    <row r="19" spans="1:2" x14ac:dyDescent="0.45">
      <c r="A19" s="1" t="s">
        <v>46</v>
      </c>
      <c r="B19" t="s">
        <v>27</v>
      </c>
    </row>
    <row r="20" spans="1:2" x14ac:dyDescent="0.45">
      <c r="A20" s="1" t="s">
        <v>47</v>
      </c>
      <c r="B20" t="s">
        <v>28</v>
      </c>
    </row>
    <row r="21" spans="1:2" x14ac:dyDescent="0.45">
      <c r="A21" s="1"/>
    </row>
    <row r="22" spans="1:2" x14ac:dyDescent="0.45">
      <c r="A22" s="1"/>
    </row>
    <row r="23" spans="1:2" x14ac:dyDescent="0.45">
      <c r="A23" s="1"/>
    </row>
    <row r="24" spans="1:2" x14ac:dyDescent="0.45">
      <c r="A24" s="1"/>
    </row>
    <row r="25" spans="1:2" x14ac:dyDescent="0.45">
      <c r="A25" s="1"/>
    </row>
    <row r="26" spans="1:2" x14ac:dyDescent="0.45">
      <c r="A26" s="1"/>
    </row>
    <row r="27" spans="1:2" x14ac:dyDescent="0.45">
      <c r="A27" s="1"/>
    </row>
    <row r="28" spans="1:2" x14ac:dyDescent="0.45">
      <c r="A28" s="1"/>
    </row>
    <row r="29" spans="1:2" x14ac:dyDescent="0.45">
      <c r="A29" s="1"/>
    </row>
    <row r="30" spans="1:2" x14ac:dyDescent="0.45">
      <c r="A30" s="1"/>
    </row>
    <row r="31" spans="1:2" x14ac:dyDescent="0.45">
      <c r="A31" s="1"/>
    </row>
    <row r="32" spans="1:2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2" x14ac:dyDescent="0.45">
      <c r="A49" s="1"/>
    </row>
    <row r="50" spans="1:2" x14ac:dyDescent="0.45">
      <c r="A50" s="1"/>
    </row>
    <row r="51" spans="1:2" x14ac:dyDescent="0.45">
      <c r="A51" s="1"/>
    </row>
    <row r="52" spans="1:2" x14ac:dyDescent="0.45">
      <c r="A52" s="1"/>
    </row>
    <row r="53" spans="1:2" x14ac:dyDescent="0.45">
      <c r="A53" s="1"/>
    </row>
    <row r="54" spans="1:2" x14ac:dyDescent="0.45">
      <c r="A54" s="1"/>
    </row>
    <row r="55" spans="1:2" x14ac:dyDescent="0.45">
      <c r="A55" s="1"/>
    </row>
    <row r="56" spans="1:2" x14ac:dyDescent="0.45">
      <c r="A56" s="1"/>
    </row>
    <row r="57" spans="1:2" x14ac:dyDescent="0.45">
      <c r="A57" s="1"/>
    </row>
    <row r="58" spans="1:2" x14ac:dyDescent="0.45">
      <c r="A58" s="1"/>
    </row>
    <row r="59" spans="1:2" x14ac:dyDescent="0.45">
      <c r="A59" s="1"/>
    </row>
    <row r="60" spans="1:2" x14ac:dyDescent="0.45">
      <c r="B60" cm="1">
        <f t="array" aca="1" ref="B60" ca="1">INDIRECT("A"&amp;(ROW(A60)+3),TRUE)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取込用シート</vt:lpstr>
      <vt:lpstr>カテゴリ管理</vt:lpstr>
      <vt:lpstr>コード表</vt:lpstr>
      <vt:lpstr>作業用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manabykomagome05@outlook.jp</dc:creator>
  <cp:lastModifiedBy>manabykomagome05@outlook.jp</cp:lastModifiedBy>
  <dcterms:created xsi:type="dcterms:W3CDTF">2025-05-02T05:39:59Z</dcterms:created>
  <dcterms:modified xsi:type="dcterms:W3CDTF">2025-05-14T05:48:34Z</dcterms:modified>
</cp:coreProperties>
</file>