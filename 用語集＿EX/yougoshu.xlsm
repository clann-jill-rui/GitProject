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manab\Desktop\git\GitProject\用語集＿EX\"/>
    </mc:Choice>
  </mc:AlternateContent>
  <xr:revisionPtr revIDLastSave="0" documentId="13_ncr:1_{F8C617A7-D51E-4536-9410-FA686637B2A3}" xr6:coauthVersionLast="47" xr6:coauthVersionMax="47" xr10:uidLastSave="{00000000-0000-0000-0000-000000000000}"/>
  <bookViews>
    <workbookView xWindow="-108" yWindow="-108" windowWidth="23256" windowHeight="12576" activeTab="3" xr2:uid="{642848E6-F4D2-4884-8C53-8E1982E398BE}"/>
  </bookViews>
  <sheets>
    <sheet name="取込用シート" sheetId="1" r:id="rId1"/>
    <sheet name="カテゴリ管理" sheetId="3" r:id="rId2"/>
    <sheet name="コード表" sheetId="5" r:id="rId3"/>
    <sheet name="コード表２" sheetId="6" r:id="rId4"/>
    <sheet name="作業用" sheetId="2" r:id="rId5"/>
  </sheets>
  <definedNames>
    <definedName name="_xlnm._FilterDatabase" localSheetId="2" hidden="1">コード表!$A$1:$H$202</definedName>
    <definedName name="_xleta.N" hidden="1" xlm="1">#NAME?</definedName>
    <definedName name="_xleta.NA" hidden="1" xlm="1">#NAME?</definedName>
    <definedName name="_xleta.TRANSPOSE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58" i="5" l="1"/>
  <c r="E158" i="5"/>
  <c r="F158" i="5"/>
  <c r="G158" i="5"/>
  <c r="H158" i="5"/>
  <c r="I158" i="5" s="1"/>
  <c r="I191" i="5"/>
  <c r="I192" i="5"/>
  <c r="I193" i="5"/>
  <c r="I194" i="5"/>
  <c r="I195" i="5"/>
  <c r="I196" i="5"/>
  <c r="I197" i="5"/>
  <c r="I198" i="5"/>
  <c r="I199" i="5"/>
  <c r="I200" i="5"/>
  <c r="I201" i="5"/>
  <c r="I202" i="5"/>
  <c r="F3" i="5"/>
  <c r="F4" i="5"/>
  <c r="F5" i="5"/>
  <c r="F6" i="5"/>
  <c r="F7" i="5"/>
  <c r="F8" i="5"/>
  <c r="F9" i="5"/>
  <c r="F10" i="5"/>
  <c r="F11" i="5"/>
  <c r="F12" i="5"/>
  <c r="F13" i="5"/>
  <c r="F14" i="5"/>
  <c r="F15" i="5"/>
  <c r="F16" i="5"/>
  <c r="F17" i="5"/>
  <c r="F18" i="5"/>
  <c r="F19" i="5"/>
  <c r="F20" i="5"/>
  <c r="F21" i="5"/>
  <c r="F22" i="5"/>
  <c r="F23" i="5"/>
  <c r="F24" i="5"/>
  <c r="F25" i="5"/>
  <c r="F26" i="5"/>
  <c r="F27" i="5"/>
  <c r="F28" i="5"/>
  <c r="F29" i="5"/>
  <c r="F30" i="5"/>
  <c r="F31" i="5"/>
  <c r="F32" i="5"/>
  <c r="F33" i="5"/>
  <c r="F34" i="5"/>
  <c r="F35" i="5"/>
  <c r="F36" i="5"/>
  <c r="F37" i="5"/>
  <c r="F38" i="5"/>
  <c r="F39" i="5"/>
  <c r="F40" i="5"/>
  <c r="F41" i="5"/>
  <c r="F42" i="5"/>
  <c r="F43" i="5"/>
  <c r="F44" i="5"/>
  <c r="F45" i="5"/>
  <c r="F46" i="5"/>
  <c r="F47" i="5"/>
  <c r="F48" i="5"/>
  <c r="F49" i="5"/>
  <c r="F50" i="5"/>
  <c r="F51" i="5"/>
  <c r="F52" i="5"/>
  <c r="F53" i="5"/>
  <c r="F54" i="5"/>
  <c r="F55" i="5"/>
  <c r="F56" i="5"/>
  <c r="F57" i="5"/>
  <c r="F58" i="5"/>
  <c r="F59" i="5"/>
  <c r="F60" i="5"/>
  <c r="F61" i="5"/>
  <c r="F62" i="5"/>
  <c r="F63" i="5"/>
  <c r="F64" i="5"/>
  <c r="F65" i="5"/>
  <c r="F66" i="5"/>
  <c r="F67" i="5"/>
  <c r="F68" i="5"/>
  <c r="F69" i="5"/>
  <c r="F70" i="5"/>
  <c r="F71" i="5"/>
  <c r="F72" i="5"/>
  <c r="F73" i="5"/>
  <c r="F74" i="5"/>
  <c r="F75" i="5"/>
  <c r="F76" i="5"/>
  <c r="F77" i="5"/>
  <c r="F78" i="5"/>
  <c r="F79" i="5"/>
  <c r="F80" i="5"/>
  <c r="F81" i="5"/>
  <c r="F82" i="5"/>
  <c r="F83" i="5"/>
  <c r="F84" i="5"/>
  <c r="F85" i="5"/>
  <c r="F86" i="5"/>
  <c r="F87" i="5"/>
  <c r="F88" i="5"/>
  <c r="F89" i="5"/>
  <c r="F90" i="5"/>
  <c r="F91" i="5"/>
  <c r="F92" i="5"/>
  <c r="F93" i="5"/>
  <c r="F94" i="5"/>
  <c r="F95" i="5"/>
  <c r="F96" i="5"/>
  <c r="F97" i="5"/>
  <c r="F98" i="5"/>
  <c r="F99" i="5"/>
  <c r="F100" i="5"/>
  <c r="F101" i="5"/>
  <c r="F102" i="5"/>
  <c r="F103" i="5"/>
  <c r="F104" i="5"/>
  <c r="F105" i="5"/>
  <c r="F106" i="5"/>
  <c r="F107" i="5"/>
  <c r="F108" i="5"/>
  <c r="F109" i="5"/>
  <c r="F110" i="5"/>
  <c r="F111" i="5"/>
  <c r="F112" i="5"/>
  <c r="F113" i="5"/>
  <c r="F114" i="5"/>
  <c r="F115" i="5"/>
  <c r="F116" i="5"/>
  <c r="F117" i="5"/>
  <c r="F118" i="5"/>
  <c r="F119" i="5"/>
  <c r="F120" i="5"/>
  <c r="F121" i="5"/>
  <c r="F122" i="5"/>
  <c r="F123" i="5"/>
  <c r="F124" i="5"/>
  <c r="F125" i="5"/>
  <c r="F126" i="5"/>
  <c r="F127" i="5"/>
  <c r="F128" i="5"/>
  <c r="F129" i="5"/>
  <c r="F130" i="5"/>
  <c r="F131" i="5"/>
  <c r="F132" i="5"/>
  <c r="F133" i="5"/>
  <c r="F134" i="5"/>
  <c r="F135" i="5"/>
  <c r="F136" i="5"/>
  <c r="F137" i="5"/>
  <c r="F138" i="5"/>
  <c r="F139" i="5"/>
  <c r="F140" i="5"/>
  <c r="F141" i="5"/>
  <c r="F142" i="5"/>
  <c r="F143" i="5"/>
  <c r="F144" i="5"/>
  <c r="F145" i="5"/>
  <c r="F146" i="5"/>
  <c r="F147" i="5"/>
  <c r="F148" i="5"/>
  <c r="F149" i="5"/>
  <c r="F150" i="5"/>
  <c r="F151" i="5"/>
  <c r="F152" i="5"/>
  <c r="F153" i="5"/>
  <c r="F154" i="5"/>
  <c r="F155" i="5"/>
  <c r="F156" i="5"/>
  <c r="F157" i="5"/>
  <c r="F159" i="5"/>
  <c r="F160" i="5"/>
  <c r="F161" i="5"/>
  <c r="F162" i="5"/>
  <c r="F163" i="5"/>
  <c r="F164" i="5"/>
  <c r="F165" i="5"/>
  <c r="F166" i="5"/>
  <c r="F167" i="5"/>
  <c r="F168" i="5"/>
  <c r="F169" i="5"/>
  <c r="F170" i="5"/>
  <c r="F171" i="5"/>
  <c r="F172" i="5"/>
  <c r="F173" i="5"/>
  <c r="F174" i="5"/>
  <c r="F175" i="5"/>
  <c r="F176" i="5"/>
  <c r="F177" i="5"/>
  <c r="F178" i="5"/>
  <c r="F179" i="5"/>
  <c r="F180" i="5"/>
  <c r="F181" i="5"/>
  <c r="F182" i="5"/>
  <c r="F183" i="5"/>
  <c r="F184" i="5"/>
  <c r="F185" i="5"/>
  <c r="F186" i="5"/>
  <c r="F187" i="5"/>
  <c r="F188" i="5"/>
  <c r="F189" i="5"/>
  <c r="F190" i="5"/>
  <c r="F191" i="5"/>
  <c r="F192" i="5"/>
  <c r="F193" i="5"/>
  <c r="F194" i="5"/>
  <c r="F195" i="5"/>
  <c r="F196" i="5"/>
  <c r="F197" i="5"/>
  <c r="F198" i="5"/>
  <c r="F199" i="5"/>
  <c r="F200" i="5"/>
  <c r="F201" i="5"/>
  <c r="F202" i="5"/>
  <c r="F2" i="5"/>
  <c r="E3" i="5"/>
  <c r="E4" i="5"/>
  <c r="E5" i="5"/>
  <c r="E6" i="5"/>
  <c r="E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38" i="5"/>
  <c r="E39" i="5"/>
  <c r="E40" i="5"/>
  <c r="E41" i="5"/>
  <c r="E42" i="5"/>
  <c r="E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E58" i="5"/>
  <c r="E59" i="5"/>
  <c r="E60" i="5"/>
  <c r="E61" i="5"/>
  <c r="E62" i="5"/>
  <c r="E63" i="5"/>
  <c r="E64" i="5"/>
  <c r="E65" i="5"/>
  <c r="E66" i="5"/>
  <c r="E67" i="5"/>
  <c r="E68" i="5"/>
  <c r="E69" i="5"/>
  <c r="E70" i="5"/>
  <c r="E71" i="5"/>
  <c r="E72" i="5"/>
  <c r="E73" i="5"/>
  <c r="E74" i="5"/>
  <c r="E75" i="5"/>
  <c r="E76" i="5"/>
  <c r="E77" i="5"/>
  <c r="E78" i="5"/>
  <c r="E79" i="5"/>
  <c r="E80" i="5"/>
  <c r="E81" i="5"/>
  <c r="E82" i="5"/>
  <c r="E83" i="5"/>
  <c r="E84" i="5"/>
  <c r="E85" i="5"/>
  <c r="E86" i="5"/>
  <c r="E87" i="5"/>
  <c r="E88" i="5"/>
  <c r="E89" i="5"/>
  <c r="E90" i="5"/>
  <c r="E91" i="5"/>
  <c r="E92" i="5"/>
  <c r="E93" i="5"/>
  <c r="E94" i="5"/>
  <c r="E95" i="5"/>
  <c r="E96" i="5"/>
  <c r="E97" i="5"/>
  <c r="E98" i="5"/>
  <c r="E99" i="5"/>
  <c r="E100" i="5"/>
  <c r="E101" i="5"/>
  <c r="E102" i="5"/>
  <c r="E103" i="5"/>
  <c r="E104" i="5"/>
  <c r="E105" i="5"/>
  <c r="E106" i="5"/>
  <c r="E107" i="5"/>
  <c r="E108" i="5"/>
  <c r="E109" i="5"/>
  <c r="E110" i="5"/>
  <c r="E111" i="5"/>
  <c r="E112" i="5"/>
  <c r="E113" i="5"/>
  <c r="E114" i="5"/>
  <c r="E115" i="5"/>
  <c r="E116" i="5"/>
  <c r="E117" i="5"/>
  <c r="E118" i="5"/>
  <c r="E119" i="5"/>
  <c r="E120" i="5"/>
  <c r="E121" i="5"/>
  <c r="E122" i="5"/>
  <c r="E123" i="5"/>
  <c r="E124" i="5"/>
  <c r="E125" i="5"/>
  <c r="E126" i="5"/>
  <c r="E127" i="5"/>
  <c r="E128" i="5"/>
  <c r="E129" i="5"/>
  <c r="E130" i="5"/>
  <c r="E131" i="5"/>
  <c r="E132" i="5"/>
  <c r="E133" i="5"/>
  <c r="E134" i="5"/>
  <c r="E135" i="5"/>
  <c r="E136" i="5"/>
  <c r="E137" i="5"/>
  <c r="E138" i="5"/>
  <c r="E139" i="5"/>
  <c r="E140" i="5"/>
  <c r="E141" i="5"/>
  <c r="E142" i="5"/>
  <c r="E143" i="5"/>
  <c r="E144" i="5"/>
  <c r="E145" i="5"/>
  <c r="E146" i="5"/>
  <c r="E147" i="5"/>
  <c r="E148" i="5"/>
  <c r="E149" i="5"/>
  <c r="E150" i="5"/>
  <c r="E151" i="5"/>
  <c r="E152" i="5"/>
  <c r="E153" i="5"/>
  <c r="E154" i="5"/>
  <c r="E155" i="5"/>
  <c r="E156" i="5"/>
  <c r="E157" i="5"/>
  <c r="E159" i="5"/>
  <c r="E160" i="5"/>
  <c r="E161" i="5"/>
  <c r="E162" i="5"/>
  <c r="E163" i="5"/>
  <c r="E164" i="5"/>
  <c r="E165" i="5"/>
  <c r="E166" i="5"/>
  <c r="E167" i="5"/>
  <c r="E168" i="5"/>
  <c r="E169" i="5"/>
  <c r="E170" i="5"/>
  <c r="E171" i="5"/>
  <c r="E172" i="5"/>
  <c r="E173" i="5"/>
  <c r="E174" i="5"/>
  <c r="E175" i="5"/>
  <c r="E176" i="5"/>
  <c r="E177" i="5"/>
  <c r="E178" i="5"/>
  <c r="E179" i="5"/>
  <c r="E180" i="5"/>
  <c r="E181" i="5"/>
  <c r="E182" i="5"/>
  <c r="E183" i="5"/>
  <c r="E184" i="5"/>
  <c r="E185" i="5"/>
  <c r="E186" i="5"/>
  <c r="E187" i="5"/>
  <c r="E188" i="5"/>
  <c r="E189" i="5"/>
  <c r="E190" i="5"/>
  <c r="E191" i="5"/>
  <c r="E192" i="5"/>
  <c r="E193" i="5"/>
  <c r="E194" i="5"/>
  <c r="E195" i="5"/>
  <c r="E196" i="5"/>
  <c r="E197" i="5"/>
  <c r="E198" i="5"/>
  <c r="E199" i="5"/>
  <c r="E200" i="5"/>
  <c r="E201" i="5"/>
  <c r="E202" i="5"/>
  <c r="E2" i="5"/>
  <c r="D3" i="5"/>
  <c r="G3" i="5" s="1"/>
  <c r="D4" i="5"/>
  <c r="D5" i="5"/>
  <c r="D6" i="5"/>
  <c r="D7" i="5"/>
  <c r="G7" i="5" s="1"/>
  <c r="D8" i="5"/>
  <c r="D9" i="5"/>
  <c r="D10" i="5"/>
  <c r="D11" i="5"/>
  <c r="G11" i="5" s="1"/>
  <c r="D12" i="5"/>
  <c r="D13" i="5"/>
  <c r="D14" i="5"/>
  <c r="D15" i="5"/>
  <c r="G15" i="5" s="1"/>
  <c r="D16" i="5"/>
  <c r="D17" i="5"/>
  <c r="D18" i="5"/>
  <c r="D19" i="5"/>
  <c r="G19" i="5" s="1"/>
  <c r="D20" i="5"/>
  <c r="D21" i="5"/>
  <c r="D22" i="5"/>
  <c r="D23" i="5"/>
  <c r="G23" i="5" s="1"/>
  <c r="D24" i="5"/>
  <c r="D25" i="5"/>
  <c r="D26" i="5"/>
  <c r="D27" i="5"/>
  <c r="G27" i="5" s="1"/>
  <c r="D28" i="5"/>
  <c r="D29" i="5"/>
  <c r="D30" i="5"/>
  <c r="D31" i="5"/>
  <c r="G31" i="5" s="1"/>
  <c r="D32" i="5"/>
  <c r="D33" i="5"/>
  <c r="D34" i="5"/>
  <c r="D35" i="5"/>
  <c r="G35" i="5" s="1"/>
  <c r="D36" i="5"/>
  <c r="D37" i="5"/>
  <c r="D38" i="5"/>
  <c r="D39" i="5"/>
  <c r="G39" i="5" s="1"/>
  <c r="D40" i="5"/>
  <c r="D41" i="5"/>
  <c r="D42" i="5"/>
  <c r="D43" i="5"/>
  <c r="G43" i="5" s="1"/>
  <c r="D44" i="5"/>
  <c r="D45" i="5"/>
  <c r="D46" i="5"/>
  <c r="D47" i="5"/>
  <c r="G47" i="5" s="1"/>
  <c r="D48" i="5"/>
  <c r="D49" i="5"/>
  <c r="D50" i="5"/>
  <c r="D51" i="5"/>
  <c r="G51" i="5" s="1"/>
  <c r="D52" i="5"/>
  <c r="G52" i="5" s="1"/>
  <c r="D53" i="5"/>
  <c r="D54" i="5"/>
  <c r="D55" i="5"/>
  <c r="G55" i="5" s="1"/>
  <c r="D56" i="5"/>
  <c r="D57" i="5"/>
  <c r="D58" i="5"/>
  <c r="D59" i="5"/>
  <c r="G59" i="5" s="1"/>
  <c r="D60" i="5"/>
  <c r="D61" i="5"/>
  <c r="D62" i="5"/>
  <c r="D63" i="5"/>
  <c r="G63" i="5" s="1"/>
  <c r="D64" i="5"/>
  <c r="D65" i="5"/>
  <c r="D66" i="5"/>
  <c r="D67" i="5"/>
  <c r="G67" i="5" s="1"/>
  <c r="D68" i="5"/>
  <c r="D69" i="5"/>
  <c r="D70" i="5"/>
  <c r="D71" i="5"/>
  <c r="G71" i="5" s="1"/>
  <c r="D72" i="5"/>
  <c r="D73" i="5"/>
  <c r="D74" i="5"/>
  <c r="D75" i="5"/>
  <c r="G75" i="5" s="1"/>
  <c r="D76" i="5"/>
  <c r="D77" i="5"/>
  <c r="D78" i="5"/>
  <c r="D79" i="5"/>
  <c r="G79" i="5" s="1"/>
  <c r="D80" i="5"/>
  <c r="D81" i="5"/>
  <c r="D82" i="5"/>
  <c r="D83" i="5"/>
  <c r="G83" i="5" s="1"/>
  <c r="D84" i="5"/>
  <c r="D85" i="5"/>
  <c r="D86" i="5"/>
  <c r="D87" i="5"/>
  <c r="G87" i="5" s="1"/>
  <c r="D88" i="5"/>
  <c r="D89" i="5"/>
  <c r="D90" i="5"/>
  <c r="D91" i="5"/>
  <c r="G91" i="5" s="1"/>
  <c r="D92" i="5"/>
  <c r="D93" i="5"/>
  <c r="D94" i="5"/>
  <c r="D95" i="5"/>
  <c r="G95" i="5" s="1"/>
  <c r="D96" i="5"/>
  <c r="D97" i="5"/>
  <c r="D98" i="5"/>
  <c r="D99" i="5"/>
  <c r="G99" i="5" s="1"/>
  <c r="D100" i="5"/>
  <c r="D101" i="5"/>
  <c r="D102" i="5"/>
  <c r="D103" i="5"/>
  <c r="G103" i="5" s="1"/>
  <c r="D104" i="5"/>
  <c r="D105" i="5"/>
  <c r="D106" i="5"/>
  <c r="D107" i="5"/>
  <c r="G107" i="5" s="1"/>
  <c r="D108" i="5"/>
  <c r="D109" i="5"/>
  <c r="D110" i="5"/>
  <c r="G110" i="5" s="1"/>
  <c r="D111" i="5"/>
  <c r="G111" i="5" s="1"/>
  <c r="D112" i="5"/>
  <c r="D113" i="5"/>
  <c r="D114" i="5"/>
  <c r="D115" i="5"/>
  <c r="G115" i="5" s="1"/>
  <c r="D116" i="5"/>
  <c r="D117" i="5"/>
  <c r="D118" i="5"/>
  <c r="D119" i="5"/>
  <c r="G119" i="5" s="1"/>
  <c r="D120" i="5"/>
  <c r="D121" i="5"/>
  <c r="D122" i="5"/>
  <c r="D123" i="5"/>
  <c r="G123" i="5" s="1"/>
  <c r="D124" i="5"/>
  <c r="D125" i="5"/>
  <c r="D126" i="5"/>
  <c r="D127" i="5"/>
  <c r="G127" i="5" s="1"/>
  <c r="D128" i="5"/>
  <c r="D129" i="5"/>
  <c r="D130" i="5"/>
  <c r="D131" i="5"/>
  <c r="G131" i="5" s="1"/>
  <c r="D132" i="5"/>
  <c r="D133" i="5"/>
  <c r="D134" i="5"/>
  <c r="D135" i="5"/>
  <c r="G135" i="5" s="1"/>
  <c r="D136" i="5"/>
  <c r="D137" i="5"/>
  <c r="D138" i="5"/>
  <c r="D139" i="5"/>
  <c r="G139" i="5" s="1"/>
  <c r="D140" i="5"/>
  <c r="D141" i="5"/>
  <c r="D142" i="5"/>
  <c r="D143" i="5"/>
  <c r="G143" i="5" s="1"/>
  <c r="D144" i="5"/>
  <c r="D145" i="5"/>
  <c r="D146" i="5"/>
  <c r="D147" i="5"/>
  <c r="D148" i="5"/>
  <c r="D149" i="5"/>
  <c r="D150" i="5"/>
  <c r="D151" i="5"/>
  <c r="D152" i="5"/>
  <c r="D153" i="5"/>
  <c r="D154" i="5"/>
  <c r="D155" i="5"/>
  <c r="G155" i="5" s="1"/>
  <c r="D156" i="5"/>
  <c r="D157" i="5"/>
  <c r="D159" i="5"/>
  <c r="H159" i="5" s="1"/>
  <c r="I159" i="5" s="1"/>
  <c r="D160" i="5"/>
  <c r="G160" i="5" s="1"/>
  <c r="D161" i="5"/>
  <c r="G161" i="5" s="1"/>
  <c r="D162" i="5"/>
  <c r="H162" i="5" s="1"/>
  <c r="I162" i="5" s="1"/>
  <c r="D163" i="5"/>
  <c r="H163" i="5" s="1"/>
  <c r="I163" i="5" s="1"/>
  <c r="D164" i="5"/>
  <c r="H164" i="5" s="1"/>
  <c r="I164" i="5" s="1"/>
  <c r="D165" i="5"/>
  <c r="H165" i="5" s="1"/>
  <c r="I165" i="5" s="1"/>
  <c r="D166" i="5"/>
  <c r="D167" i="5"/>
  <c r="H167" i="5" s="1"/>
  <c r="I167" i="5" s="1"/>
  <c r="D168" i="5"/>
  <c r="G168" i="5" s="1"/>
  <c r="D169" i="5"/>
  <c r="H169" i="5" s="1"/>
  <c r="I169" i="5" s="1"/>
  <c r="D170" i="5"/>
  <c r="H170" i="5" s="1"/>
  <c r="I170" i="5" s="1"/>
  <c r="D171" i="5"/>
  <c r="H171" i="5" s="1"/>
  <c r="I171" i="5" s="1"/>
  <c r="D172" i="5"/>
  <c r="G172" i="5" s="1"/>
  <c r="D173" i="5"/>
  <c r="H173" i="5" s="1"/>
  <c r="I173" i="5" s="1"/>
  <c r="D174" i="5"/>
  <c r="H174" i="5" s="1"/>
  <c r="I174" i="5" s="1"/>
  <c r="D175" i="5"/>
  <c r="H175" i="5" s="1"/>
  <c r="I175" i="5" s="1"/>
  <c r="D176" i="5"/>
  <c r="G176" i="5" s="1"/>
  <c r="D177" i="5"/>
  <c r="G177" i="5" s="1"/>
  <c r="D178" i="5"/>
  <c r="H178" i="5" s="1"/>
  <c r="I178" i="5" s="1"/>
  <c r="D179" i="5"/>
  <c r="H179" i="5" s="1"/>
  <c r="I179" i="5" s="1"/>
  <c r="D180" i="5"/>
  <c r="H180" i="5" s="1"/>
  <c r="I180" i="5" s="1"/>
  <c r="D181" i="5"/>
  <c r="G181" i="5" s="1"/>
  <c r="D182" i="5"/>
  <c r="H182" i="5" s="1"/>
  <c r="I182" i="5" s="1"/>
  <c r="D183" i="5"/>
  <c r="H183" i="5" s="1"/>
  <c r="I183" i="5" s="1"/>
  <c r="D184" i="5"/>
  <c r="H184" i="5" s="1"/>
  <c r="I184" i="5" s="1"/>
  <c r="D185" i="5"/>
  <c r="H185" i="5" s="1"/>
  <c r="I185" i="5" s="1"/>
  <c r="D186" i="5"/>
  <c r="H186" i="5" s="1"/>
  <c r="I186" i="5" s="1"/>
  <c r="D187" i="5"/>
  <c r="G187" i="5" s="1"/>
  <c r="D188" i="5"/>
  <c r="G188" i="5" s="1"/>
  <c r="D189" i="5"/>
  <c r="H189" i="5" s="1"/>
  <c r="I189" i="5" s="1"/>
  <c r="D190" i="5"/>
  <c r="H190" i="5" s="1"/>
  <c r="I190" i="5" s="1"/>
  <c r="D191" i="5"/>
  <c r="G191" i="5" s="1"/>
  <c r="D192" i="5"/>
  <c r="G192" i="5" s="1"/>
  <c r="D193" i="5"/>
  <c r="G193" i="5" s="1"/>
  <c r="D194" i="5"/>
  <c r="G194" i="5" s="1"/>
  <c r="D195" i="5"/>
  <c r="G195" i="5" s="1"/>
  <c r="D196" i="5"/>
  <c r="G196" i="5" s="1"/>
  <c r="D197" i="5"/>
  <c r="G197" i="5" s="1"/>
  <c r="D198" i="5"/>
  <c r="G198" i="5" s="1"/>
  <c r="D199" i="5"/>
  <c r="G199" i="5" s="1"/>
  <c r="D200" i="5"/>
  <c r="G200" i="5" s="1"/>
  <c r="D201" i="5"/>
  <c r="G201" i="5" s="1"/>
  <c r="D202" i="5"/>
  <c r="G202" i="5" s="1"/>
  <c r="D2" i="5"/>
  <c r="G2" i="5" s="1"/>
  <c r="H3" i="6"/>
  <c r="H4" i="6"/>
  <c r="H5" i="6"/>
  <c r="H6" i="6"/>
  <c r="H7" i="6"/>
  <c r="H8" i="6"/>
  <c r="H9" i="6"/>
  <c r="H10" i="6"/>
  <c r="H11" i="6"/>
  <c r="H12" i="6"/>
  <c r="H13" i="6"/>
  <c r="H14" i="6"/>
  <c r="H15" i="6"/>
  <c r="H16" i="6"/>
  <c r="H17" i="6"/>
  <c r="H18" i="6"/>
  <c r="H19" i="6"/>
  <c r="H20" i="6"/>
  <c r="H21" i="6"/>
  <c r="H22" i="6"/>
  <c r="H23" i="6"/>
  <c r="H24" i="6"/>
  <c r="H25" i="6"/>
  <c r="H26" i="6"/>
  <c r="H27" i="6"/>
  <c r="H28" i="6"/>
  <c r="H29" i="6"/>
  <c r="H30" i="6"/>
  <c r="H31" i="6"/>
  <c r="H32" i="6"/>
  <c r="H33" i="6"/>
  <c r="H34" i="6"/>
  <c r="H35" i="6"/>
  <c r="H36" i="6"/>
  <c r="H37" i="6"/>
  <c r="H38" i="6"/>
  <c r="H39" i="6"/>
  <c r="H40" i="6"/>
  <c r="H41" i="6"/>
  <c r="H42" i="6"/>
  <c r="H43" i="6"/>
  <c r="H44" i="6"/>
  <c r="H45" i="6"/>
  <c r="H46" i="6"/>
  <c r="H47" i="6"/>
  <c r="H48" i="6"/>
  <c r="H49" i="6"/>
  <c r="H50" i="6"/>
  <c r="H51" i="6"/>
  <c r="H52" i="6"/>
  <c r="H53" i="6"/>
  <c r="H54" i="6"/>
  <c r="H55" i="6"/>
  <c r="H56" i="6"/>
  <c r="H57" i="6"/>
  <c r="H58" i="6"/>
  <c r="H59" i="6"/>
  <c r="H60" i="6"/>
  <c r="H61" i="6"/>
  <c r="H62" i="6"/>
  <c r="H63" i="6"/>
  <c r="H64" i="6"/>
  <c r="H65" i="6"/>
  <c r="H66" i="6"/>
  <c r="H67" i="6"/>
  <c r="H68" i="6"/>
  <c r="H69" i="6"/>
  <c r="H70" i="6"/>
  <c r="H71" i="6"/>
  <c r="H72" i="6"/>
  <c r="H73" i="6"/>
  <c r="H74" i="6"/>
  <c r="H75" i="6"/>
  <c r="H76" i="6"/>
  <c r="H77" i="6"/>
  <c r="H78" i="6"/>
  <c r="H79" i="6"/>
  <c r="H80" i="6"/>
  <c r="H81" i="6"/>
  <c r="H82" i="6"/>
  <c r="H83" i="6"/>
  <c r="H84" i="6"/>
  <c r="H85" i="6"/>
  <c r="H86" i="6"/>
  <c r="H87" i="6"/>
  <c r="H88" i="6"/>
  <c r="H89" i="6"/>
  <c r="H90" i="6"/>
  <c r="H91" i="6"/>
  <c r="H92" i="6"/>
  <c r="H93" i="6"/>
  <c r="H94" i="6"/>
  <c r="H95" i="6"/>
  <c r="H96" i="6"/>
  <c r="H97" i="6"/>
  <c r="H98" i="6"/>
  <c r="H99" i="6"/>
  <c r="H100" i="6"/>
  <c r="H101" i="6"/>
  <c r="H102" i="6"/>
  <c r="H103" i="6"/>
  <c r="H104" i="6"/>
  <c r="H105" i="6"/>
  <c r="H106" i="6"/>
  <c r="H107" i="6"/>
  <c r="H108" i="6"/>
  <c r="H109" i="6"/>
  <c r="H110" i="6"/>
  <c r="H111" i="6"/>
  <c r="H112" i="6"/>
  <c r="H113" i="6"/>
  <c r="H114" i="6"/>
  <c r="H115" i="6"/>
  <c r="H116" i="6"/>
  <c r="H117" i="6"/>
  <c r="H118" i="6"/>
  <c r="H119" i="6"/>
  <c r="H120" i="6"/>
  <c r="H121" i="6"/>
  <c r="H122" i="6"/>
  <c r="H123" i="6"/>
  <c r="H124" i="6"/>
  <c r="H125" i="6"/>
  <c r="H126" i="6"/>
  <c r="H127" i="6"/>
  <c r="H128" i="6"/>
  <c r="H129" i="6"/>
  <c r="H130" i="6"/>
  <c r="H131" i="6"/>
  <c r="H132" i="6"/>
  <c r="H133" i="6"/>
  <c r="H134" i="6"/>
  <c r="H135" i="6"/>
  <c r="H136" i="6"/>
  <c r="H137" i="6"/>
  <c r="H138" i="6"/>
  <c r="H139" i="6"/>
  <c r="H140" i="6"/>
  <c r="H141" i="6"/>
  <c r="H142" i="6"/>
  <c r="H143" i="6"/>
  <c r="H144" i="6"/>
  <c r="H145" i="6"/>
  <c r="H146" i="6"/>
  <c r="H147" i="6"/>
  <c r="H148" i="6"/>
  <c r="H149" i="6"/>
  <c r="H150" i="6"/>
  <c r="H151" i="6"/>
  <c r="H152" i="6"/>
  <c r="H153" i="6"/>
  <c r="H154" i="6"/>
  <c r="H155" i="6"/>
  <c r="H156" i="6"/>
  <c r="H157" i="6"/>
  <c r="H158" i="6"/>
  <c r="H159" i="6"/>
  <c r="H160" i="6"/>
  <c r="H161" i="6"/>
  <c r="H162" i="6"/>
  <c r="H163" i="6"/>
  <c r="H164" i="6"/>
  <c r="H165" i="6"/>
  <c r="H166" i="6"/>
  <c r="H167" i="6"/>
  <c r="H168" i="6"/>
  <c r="H169" i="6"/>
  <c r="H170" i="6"/>
  <c r="H171" i="6"/>
  <c r="H172" i="6"/>
  <c r="H173" i="6"/>
  <c r="H174" i="6"/>
  <c r="H175" i="6"/>
  <c r="H176" i="6"/>
  <c r="H177" i="6"/>
  <c r="H178" i="6"/>
  <c r="H179" i="6"/>
  <c r="H180" i="6"/>
  <c r="H181" i="6"/>
  <c r="H182" i="6"/>
  <c r="H183" i="6"/>
  <c r="H184" i="6"/>
  <c r="H185" i="6"/>
  <c r="H186" i="6"/>
  <c r="H187" i="6"/>
  <c r="H188" i="6"/>
  <c r="H189" i="6"/>
  <c r="H190" i="6"/>
  <c r="H191" i="6"/>
  <c r="H192" i="6"/>
  <c r="H193" i="6"/>
  <c r="H194" i="6"/>
  <c r="H195" i="6"/>
  <c r="H196" i="6"/>
  <c r="H197" i="6"/>
  <c r="H198" i="6"/>
  <c r="H199" i="6"/>
  <c r="H200" i="6"/>
  <c r="H201" i="6"/>
  <c r="H202" i="6"/>
  <c r="H203" i="6"/>
  <c r="H204" i="6"/>
  <c r="H205" i="6"/>
  <c r="H206" i="6"/>
  <c r="H207" i="6"/>
  <c r="H208" i="6"/>
  <c r="H209" i="6"/>
  <c r="H210" i="6"/>
  <c r="H211" i="6"/>
  <c r="H212" i="6"/>
  <c r="H213" i="6"/>
  <c r="H214" i="6"/>
  <c r="H215" i="6"/>
  <c r="H216" i="6"/>
  <c r="H217" i="6"/>
  <c r="H218" i="6"/>
  <c r="H219" i="6"/>
  <c r="H220" i="6"/>
  <c r="H221" i="6"/>
  <c r="H222" i="6"/>
  <c r="H223" i="6"/>
  <c r="H224" i="6"/>
  <c r="H225" i="6"/>
  <c r="H226" i="6"/>
  <c r="H227" i="6"/>
  <c r="H228" i="6"/>
  <c r="H229" i="6"/>
  <c r="H230" i="6"/>
  <c r="H231" i="6"/>
  <c r="H232" i="6"/>
  <c r="H233" i="6"/>
  <c r="H234" i="6"/>
  <c r="H235" i="6"/>
  <c r="H236" i="6"/>
  <c r="H237" i="6"/>
  <c r="H238" i="6"/>
  <c r="H239" i="6"/>
  <c r="H240" i="6"/>
  <c r="H241" i="6"/>
  <c r="H242" i="6"/>
  <c r="H243" i="6"/>
  <c r="H244" i="6"/>
  <c r="H245" i="6"/>
  <c r="H246" i="6"/>
  <c r="H247" i="6"/>
  <c r="H248" i="6"/>
  <c r="H249" i="6"/>
  <c r="H250" i="6"/>
  <c r="H251" i="6"/>
  <c r="H252" i="6"/>
  <c r="H253" i="6"/>
  <c r="H254" i="6"/>
  <c r="H255" i="6"/>
  <c r="H256" i="6"/>
  <c r="H257" i="6"/>
  <c r="H258" i="6"/>
  <c r="H259" i="6"/>
  <c r="H260" i="6"/>
  <c r="H261" i="6"/>
  <c r="H262" i="6"/>
  <c r="H263" i="6"/>
  <c r="H264" i="6"/>
  <c r="H265" i="6"/>
  <c r="H266" i="6"/>
  <c r="H267" i="6"/>
  <c r="H268" i="6"/>
  <c r="H269" i="6"/>
  <c r="H270" i="6"/>
  <c r="H271" i="6"/>
  <c r="H272" i="6"/>
  <c r="H273" i="6"/>
  <c r="H274" i="6"/>
  <c r="H275" i="6"/>
  <c r="H276" i="6"/>
  <c r="H277" i="6"/>
  <c r="H278" i="6"/>
  <c r="H279" i="6"/>
  <c r="H280" i="6"/>
  <c r="H281" i="6"/>
  <c r="H282" i="6"/>
  <c r="H283" i="6"/>
  <c r="H284" i="6"/>
  <c r="H285" i="6"/>
  <c r="H286" i="6"/>
  <c r="H287" i="6"/>
  <c r="H288" i="6"/>
  <c r="H289" i="6"/>
  <c r="H290" i="6"/>
  <c r="H291" i="6"/>
  <c r="H292" i="6"/>
  <c r="H293" i="6"/>
  <c r="H294" i="6"/>
  <c r="H2" i="6"/>
  <c r="L294" i="6"/>
  <c r="K294" i="6"/>
  <c r="G294" i="6"/>
  <c r="D294" i="6"/>
  <c r="C294" i="6"/>
  <c r="L293" i="6"/>
  <c r="K293" i="6"/>
  <c r="G293" i="6"/>
  <c r="D293" i="6"/>
  <c r="C293" i="6"/>
  <c r="L292" i="6"/>
  <c r="K292" i="6"/>
  <c r="G292" i="6"/>
  <c r="D292" i="6"/>
  <c r="C292" i="6"/>
  <c r="L291" i="6"/>
  <c r="K291" i="6"/>
  <c r="G291" i="6"/>
  <c r="D291" i="6"/>
  <c r="C291" i="6"/>
  <c r="L290" i="6"/>
  <c r="K290" i="6"/>
  <c r="G290" i="6"/>
  <c r="D290" i="6"/>
  <c r="C290" i="6"/>
  <c r="L289" i="6"/>
  <c r="K289" i="6"/>
  <c r="G289" i="6"/>
  <c r="D289" i="6"/>
  <c r="C289" i="6"/>
  <c r="L288" i="6"/>
  <c r="K288" i="6"/>
  <c r="G288" i="6"/>
  <c r="D288" i="6"/>
  <c r="C288" i="6"/>
  <c r="L287" i="6"/>
  <c r="K287" i="6"/>
  <c r="G287" i="6"/>
  <c r="D287" i="6"/>
  <c r="C287" i="6"/>
  <c r="L286" i="6"/>
  <c r="K286" i="6"/>
  <c r="G286" i="6"/>
  <c r="D286" i="6"/>
  <c r="C286" i="6"/>
  <c r="L285" i="6"/>
  <c r="K285" i="6"/>
  <c r="G285" i="6"/>
  <c r="D285" i="6"/>
  <c r="C285" i="6"/>
  <c r="L284" i="6"/>
  <c r="K284" i="6"/>
  <c r="G284" i="6"/>
  <c r="D284" i="6"/>
  <c r="C284" i="6"/>
  <c r="L283" i="6"/>
  <c r="K283" i="6"/>
  <c r="G283" i="6"/>
  <c r="D283" i="6"/>
  <c r="C283" i="6"/>
  <c r="L282" i="6"/>
  <c r="K282" i="6"/>
  <c r="G282" i="6"/>
  <c r="D282" i="6"/>
  <c r="C282" i="6"/>
  <c r="L281" i="6"/>
  <c r="K281" i="6"/>
  <c r="G281" i="6"/>
  <c r="D281" i="6"/>
  <c r="C281" i="6"/>
  <c r="L280" i="6"/>
  <c r="K280" i="6"/>
  <c r="G280" i="6"/>
  <c r="D280" i="6"/>
  <c r="C280" i="6"/>
  <c r="L279" i="6"/>
  <c r="K279" i="6"/>
  <c r="G279" i="6"/>
  <c r="D279" i="6"/>
  <c r="C279" i="6"/>
  <c r="L278" i="6"/>
  <c r="K278" i="6"/>
  <c r="G278" i="6"/>
  <c r="D278" i="6"/>
  <c r="C278" i="6"/>
  <c r="L277" i="6"/>
  <c r="K277" i="6"/>
  <c r="G277" i="6"/>
  <c r="D277" i="6"/>
  <c r="C277" i="6"/>
  <c r="L276" i="6"/>
  <c r="K276" i="6"/>
  <c r="G276" i="6"/>
  <c r="D276" i="6"/>
  <c r="C276" i="6"/>
  <c r="L275" i="6"/>
  <c r="K275" i="6"/>
  <c r="G275" i="6"/>
  <c r="D275" i="6"/>
  <c r="C275" i="6"/>
  <c r="L274" i="6"/>
  <c r="K274" i="6"/>
  <c r="G274" i="6"/>
  <c r="D274" i="6"/>
  <c r="C274" i="6"/>
  <c r="L273" i="6"/>
  <c r="K273" i="6"/>
  <c r="G273" i="6"/>
  <c r="D273" i="6"/>
  <c r="C273" i="6"/>
  <c r="L272" i="6"/>
  <c r="K272" i="6"/>
  <c r="G272" i="6"/>
  <c r="D272" i="6"/>
  <c r="C272" i="6"/>
  <c r="L271" i="6"/>
  <c r="K271" i="6"/>
  <c r="G271" i="6"/>
  <c r="D271" i="6"/>
  <c r="C271" i="6"/>
  <c r="L270" i="6"/>
  <c r="K270" i="6"/>
  <c r="G270" i="6"/>
  <c r="D270" i="6"/>
  <c r="C270" i="6"/>
  <c r="L269" i="6"/>
  <c r="K269" i="6"/>
  <c r="G269" i="6"/>
  <c r="D269" i="6"/>
  <c r="C269" i="6"/>
  <c r="L268" i="6"/>
  <c r="K268" i="6"/>
  <c r="G268" i="6"/>
  <c r="D268" i="6"/>
  <c r="C268" i="6"/>
  <c r="L267" i="6"/>
  <c r="K267" i="6"/>
  <c r="G267" i="6"/>
  <c r="D267" i="6"/>
  <c r="C267" i="6"/>
  <c r="L266" i="6"/>
  <c r="K266" i="6"/>
  <c r="G266" i="6"/>
  <c r="D266" i="6"/>
  <c r="C266" i="6"/>
  <c r="L265" i="6"/>
  <c r="K265" i="6"/>
  <c r="G265" i="6"/>
  <c r="D265" i="6"/>
  <c r="C265" i="6"/>
  <c r="L264" i="6"/>
  <c r="K264" i="6"/>
  <c r="G264" i="6"/>
  <c r="D264" i="6"/>
  <c r="C264" i="6"/>
  <c r="L263" i="6"/>
  <c r="K263" i="6"/>
  <c r="G263" i="6"/>
  <c r="D263" i="6"/>
  <c r="C263" i="6"/>
  <c r="L262" i="6"/>
  <c r="K262" i="6"/>
  <c r="G262" i="6"/>
  <c r="D262" i="6"/>
  <c r="C262" i="6"/>
  <c r="L261" i="6"/>
  <c r="K261" i="6"/>
  <c r="G261" i="6"/>
  <c r="D261" i="6"/>
  <c r="C261" i="6"/>
  <c r="L260" i="6"/>
  <c r="K260" i="6"/>
  <c r="G260" i="6"/>
  <c r="D260" i="6"/>
  <c r="C260" i="6"/>
  <c r="L259" i="6"/>
  <c r="K259" i="6"/>
  <c r="G259" i="6"/>
  <c r="D259" i="6"/>
  <c r="C259" i="6"/>
  <c r="L258" i="6"/>
  <c r="K258" i="6"/>
  <c r="G258" i="6"/>
  <c r="D258" i="6"/>
  <c r="C258" i="6"/>
  <c r="L257" i="6"/>
  <c r="K257" i="6"/>
  <c r="G257" i="6"/>
  <c r="D257" i="6"/>
  <c r="C257" i="6"/>
  <c r="L256" i="6"/>
  <c r="K256" i="6"/>
  <c r="G256" i="6"/>
  <c r="D256" i="6"/>
  <c r="C256" i="6"/>
  <c r="L255" i="6"/>
  <c r="K255" i="6"/>
  <c r="G255" i="6"/>
  <c r="D255" i="6"/>
  <c r="C255" i="6"/>
  <c r="L254" i="6"/>
  <c r="K254" i="6"/>
  <c r="G254" i="6"/>
  <c r="D254" i="6"/>
  <c r="C254" i="6"/>
  <c r="L253" i="6"/>
  <c r="K253" i="6"/>
  <c r="G253" i="6"/>
  <c r="D253" i="6"/>
  <c r="C253" i="6"/>
  <c r="L252" i="6"/>
  <c r="K252" i="6"/>
  <c r="G252" i="6"/>
  <c r="D252" i="6"/>
  <c r="C252" i="6"/>
  <c r="L251" i="6"/>
  <c r="K251" i="6"/>
  <c r="G251" i="6"/>
  <c r="D251" i="6"/>
  <c r="C251" i="6"/>
  <c r="L250" i="6"/>
  <c r="K250" i="6"/>
  <c r="G250" i="6"/>
  <c r="D250" i="6"/>
  <c r="C250" i="6"/>
  <c r="L249" i="6"/>
  <c r="K249" i="6"/>
  <c r="G249" i="6"/>
  <c r="D249" i="6"/>
  <c r="C249" i="6"/>
  <c r="L248" i="6"/>
  <c r="K248" i="6"/>
  <c r="G248" i="6"/>
  <c r="D248" i="6"/>
  <c r="C248" i="6"/>
  <c r="L247" i="6"/>
  <c r="K247" i="6"/>
  <c r="G247" i="6"/>
  <c r="D247" i="6"/>
  <c r="C247" i="6"/>
  <c r="L246" i="6"/>
  <c r="K246" i="6"/>
  <c r="G246" i="6"/>
  <c r="D246" i="6"/>
  <c r="C246" i="6"/>
  <c r="L245" i="6"/>
  <c r="K245" i="6"/>
  <c r="G245" i="6"/>
  <c r="D245" i="6"/>
  <c r="C245" i="6"/>
  <c r="L244" i="6"/>
  <c r="K244" i="6"/>
  <c r="G244" i="6"/>
  <c r="D244" i="6"/>
  <c r="C244" i="6"/>
  <c r="L243" i="6"/>
  <c r="K243" i="6"/>
  <c r="G243" i="6"/>
  <c r="D243" i="6"/>
  <c r="C243" i="6"/>
  <c r="L242" i="6"/>
  <c r="K242" i="6"/>
  <c r="G242" i="6"/>
  <c r="D242" i="6"/>
  <c r="C242" i="6"/>
  <c r="L241" i="6"/>
  <c r="K241" i="6"/>
  <c r="G241" i="6"/>
  <c r="D241" i="6"/>
  <c r="C241" i="6"/>
  <c r="L240" i="6"/>
  <c r="K240" i="6"/>
  <c r="G240" i="6"/>
  <c r="D240" i="6"/>
  <c r="C240" i="6"/>
  <c r="L239" i="6"/>
  <c r="K239" i="6"/>
  <c r="G239" i="6"/>
  <c r="D239" i="6"/>
  <c r="C239" i="6"/>
  <c r="L238" i="6"/>
  <c r="K238" i="6"/>
  <c r="G238" i="6"/>
  <c r="D238" i="6"/>
  <c r="C238" i="6"/>
  <c r="L237" i="6"/>
  <c r="K237" i="6"/>
  <c r="G237" i="6"/>
  <c r="D237" i="6"/>
  <c r="C237" i="6"/>
  <c r="L236" i="6"/>
  <c r="K236" i="6"/>
  <c r="G236" i="6"/>
  <c r="D236" i="6"/>
  <c r="C236" i="6"/>
  <c r="L235" i="6"/>
  <c r="K235" i="6"/>
  <c r="G235" i="6"/>
  <c r="D235" i="6"/>
  <c r="C235" i="6"/>
  <c r="L234" i="6"/>
  <c r="K234" i="6"/>
  <c r="G234" i="6"/>
  <c r="D234" i="6"/>
  <c r="C234" i="6"/>
  <c r="L233" i="6"/>
  <c r="K233" i="6"/>
  <c r="G233" i="6"/>
  <c r="D233" i="6"/>
  <c r="C233" i="6"/>
  <c r="L232" i="6"/>
  <c r="K232" i="6"/>
  <c r="G232" i="6"/>
  <c r="D232" i="6"/>
  <c r="C232" i="6"/>
  <c r="L231" i="6"/>
  <c r="K231" i="6"/>
  <c r="G231" i="6"/>
  <c r="D231" i="6"/>
  <c r="C231" i="6"/>
  <c r="L230" i="6"/>
  <c r="K230" i="6"/>
  <c r="G230" i="6"/>
  <c r="D230" i="6"/>
  <c r="C230" i="6"/>
  <c r="L229" i="6"/>
  <c r="K229" i="6"/>
  <c r="G229" i="6"/>
  <c r="D229" i="6"/>
  <c r="C229" i="6"/>
  <c r="L228" i="6"/>
  <c r="K228" i="6"/>
  <c r="G228" i="6"/>
  <c r="D228" i="6"/>
  <c r="C228" i="6"/>
  <c r="L227" i="6"/>
  <c r="K227" i="6"/>
  <c r="G227" i="6"/>
  <c r="D227" i="6"/>
  <c r="C227" i="6"/>
  <c r="L226" i="6"/>
  <c r="K226" i="6"/>
  <c r="G226" i="6"/>
  <c r="D226" i="6"/>
  <c r="C226" i="6"/>
  <c r="L225" i="6"/>
  <c r="K225" i="6"/>
  <c r="G225" i="6"/>
  <c r="D225" i="6"/>
  <c r="C225" i="6"/>
  <c r="L224" i="6"/>
  <c r="K224" i="6"/>
  <c r="G224" i="6"/>
  <c r="D224" i="6"/>
  <c r="C224" i="6"/>
  <c r="L223" i="6"/>
  <c r="K223" i="6"/>
  <c r="G223" i="6"/>
  <c r="D223" i="6"/>
  <c r="C223" i="6"/>
  <c r="L222" i="6"/>
  <c r="K222" i="6"/>
  <c r="G222" i="6"/>
  <c r="D222" i="6"/>
  <c r="C222" i="6"/>
  <c r="L221" i="6"/>
  <c r="K221" i="6"/>
  <c r="G221" i="6"/>
  <c r="D221" i="6"/>
  <c r="C221" i="6"/>
  <c r="L220" i="6"/>
  <c r="K220" i="6"/>
  <c r="G220" i="6"/>
  <c r="D220" i="6"/>
  <c r="C220" i="6"/>
  <c r="L219" i="6"/>
  <c r="K219" i="6"/>
  <c r="G219" i="6"/>
  <c r="D219" i="6"/>
  <c r="C219" i="6"/>
  <c r="L218" i="6"/>
  <c r="K218" i="6"/>
  <c r="G218" i="6"/>
  <c r="D218" i="6"/>
  <c r="C218" i="6"/>
  <c r="L217" i="6"/>
  <c r="K217" i="6"/>
  <c r="G217" i="6"/>
  <c r="D217" i="6"/>
  <c r="C217" i="6"/>
  <c r="L216" i="6"/>
  <c r="K216" i="6"/>
  <c r="G216" i="6"/>
  <c r="D216" i="6"/>
  <c r="C216" i="6"/>
  <c r="L215" i="6"/>
  <c r="K215" i="6"/>
  <c r="G215" i="6"/>
  <c r="D215" i="6"/>
  <c r="C215" i="6"/>
  <c r="L214" i="6"/>
  <c r="K214" i="6"/>
  <c r="G214" i="6"/>
  <c r="D214" i="6"/>
  <c r="C214" i="6"/>
  <c r="L213" i="6"/>
  <c r="K213" i="6"/>
  <c r="G213" i="6"/>
  <c r="D213" i="6"/>
  <c r="C213" i="6"/>
  <c r="L212" i="6"/>
  <c r="K212" i="6"/>
  <c r="G212" i="6"/>
  <c r="D212" i="6"/>
  <c r="C212" i="6"/>
  <c r="L211" i="6"/>
  <c r="K211" i="6"/>
  <c r="G211" i="6"/>
  <c r="D211" i="6"/>
  <c r="C211" i="6"/>
  <c r="L210" i="6"/>
  <c r="K210" i="6"/>
  <c r="G210" i="6"/>
  <c r="D210" i="6"/>
  <c r="C210" i="6"/>
  <c r="L209" i="6"/>
  <c r="K209" i="6"/>
  <c r="G209" i="6"/>
  <c r="D209" i="6"/>
  <c r="C209" i="6"/>
  <c r="L208" i="6"/>
  <c r="K208" i="6"/>
  <c r="G208" i="6"/>
  <c r="D208" i="6"/>
  <c r="C208" i="6"/>
  <c r="L207" i="6"/>
  <c r="K207" i="6"/>
  <c r="G207" i="6"/>
  <c r="D207" i="6"/>
  <c r="C207" i="6"/>
  <c r="L206" i="6"/>
  <c r="K206" i="6"/>
  <c r="G206" i="6"/>
  <c r="D206" i="6"/>
  <c r="C206" i="6"/>
  <c r="L205" i="6"/>
  <c r="K205" i="6"/>
  <c r="G205" i="6"/>
  <c r="D205" i="6"/>
  <c r="C205" i="6"/>
  <c r="L204" i="6"/>
  <c r="K204" i="6"/>
  <c r="G204" i="6"/>
  <c r="D204" i="6"/>
  <c r="C204" i="6"/>
  <c r="L203" i="6"/>
  <c r="K203" i="6"/>
  <c r="G203" i="6"/>
  <c r="D203" i="6"/>
  <c r="C203" i="6"/>
  <c r="L202" i="6"/>
  <c r="K202" i="6"/>
  <c r="G202" i="6"/>
  <c r="D202" i="6"/>
  <c r="C202" i="6"/>
  <c r="L201" i="6"/>
  <c r="K201" i="6"/>
  <c r="G201" i="6"/>
  <c r="D201" i="6"/>
  <c r="C201" i="6"/>
  <c r="L200" i="6"/>
  <c r="K200" i="6"/>
  <c r="G200" i="6"/>
  <c r="D200" i="6"/>
  <c r="C200" i="6"/>
  <c r="L199" i="6"/>
  <c r="K199" i="6"/>
  <c r="G199" i="6"/>
  <c r="D199" i="6"/>
  <c r="C199" i="6"/>
  <c r="L198" i="6"/>
  <c r="K198" i="6"/>
  <c r="G198" i="6"/>
  <c r="D198" i="6"/>
  <c r="C198" i="6"/>
  <c r="L197" i="6"/>
  <c r="K197" i="6"/>
  <c r="G197" i="6"/>
  <c r="D197" i="6"/>
  <c r="C197" i="6"/>
  <c r="L196" i="6"/>
  <c r="K196" i="6"/>
  <c r="G196" i="6"/>
  <c r="D196" i="6"/>
  <c r="C196" i="6"/>
  <c r="L195" i="6"/>
  <c r="K195" i="6"/>
  <c r="G195" i="6"/>
  <c r="D195" i="6"/>
  <c r="C195" i="6"/>
  <c r="L194" i="6"/>
  <c r="K194" i="6"/>
  <c r="G194" i="6"/>
  <c r="D194" i="6"/>
  <c r="C194" i="6"/>
  <c r="L193" i="6"/>
  <c r="K193" i="6"/>
  <c r="G193" i="6"/>
  <c r="D193" i="6"/>
  <c r="C193" i="6"/>
  <c r="L192" i="6"/>
  <c r="K192" i="6"/>
  <c r="G192" i="6"/>
  <c r="D192" i="6"/>
  <c r="C192" i="6"/>
  <c r="L191" i="6"/>
  <c r="K191" i="6"/>
  <c r="G191" i="6"/>
  <c r="D191" i="6"/>
  <c r="C191" i="6"/>
  <c r="L190" i="6"/>
  <c r="K190" i="6"/>
  <c r="G190" i="6"/>
  <c r="D190" i="6"/>
  <c r="C190" i="6"/>
  <c r="L189" i="6"/>
  <c r="K189" i="6"/>
  <c r="G189" i="6"/>
  <c r="D189" i="6"/>
  <c r="C189" i="6"/>
  <c r="L188" i="6"/>
  <c r="K188" i="6"/>
  <c r="G188" i="6"/>
  <c r="D188" i="6"/>
  <c r="C188" i="6"/>
  <c r="L187" i="6"/>
  <c r="K187" i="6"/>
  <c r="G187" i="6"/>
  <c r="D187" i="6"/>
  <c r="C187" i="6"/>
  <c r="L186" i="6"/>
  <c r="K186" i="6"/>
  <c r="G186" i="6"/>
  <c r="D186" i="6"/>
  <c r="C186" i="6"/>
  <c r="L185" i="6"/>
  <c r="K185" i="6"/>
  <c r="G185" i="6"/>
  <c r="D185" i="6"/>
  <c r="C185" i="6"/>
  <c r="L184" i="6"/>
  <c r="K184" i="6"/>
  <c r="G184" i="6"/>
  <c r="D184" i="6"/>
  <c r="C184" i="6"/>
  <c r="L183" i="6"/>
  <c r="K183" i="6"/>
  <c r="G183" i="6"/>
  <c r="D183" i="6"/>
  <c r="C183" i="6"/>
  <c r="L182" i="6"/>
  <c r="K182" i="6"/>
  <c r="G182" i="6"/>
  <c r="D182" i="6"/>
  <c r="C182" i="6"/>
  <c r="L181" i="6"/>
  <c r="K181" i="6"/>
  <c r="G181" i="6"/>
  <c r="D181" i="6"/>
  <c r="C181" i="6"/>
  <c r="L180" i="6"/>
  <c r="K180" i="6"/>
  <c r="G180" i="6"/>
  <c r="D180" i="6"/>
  <c r="C180" i="6"/>
  <c r="L179" i="6"/>
  <c r="K179" i="6"/>
  <c r="G179" i="6"/>
  <c r="D179" i="6"/>
  <c r="C179" i="6"/>
  <c r="L178" i="6"/>
  <c r="K178" i="6"/>
  <c r="G178" i="6"/>
  <c r="D178" i="6"/>
  <c r="C178" i="6"/>
  <c r="L177" i="6"/>
  <c r="K177" i="6"/>
  <c r="G177" i="6"/>
  <c r="D177" i="6"/>
  <c r="C177" i="6"/>
  <c r="L176" i="6"/>
  <c r="K176" i="6"/>
  <c r="G176" i="6"/>
  <c r="D176" i="6"/>
  <c r="C176" i="6"/>
  <c r="L175" i="6"/>
  <c r="K175" i="6"/>
  <c r="G175" i="6"/>
  <c r="D175" i="6"/>
  <c r="C175" i="6"/>
  <c r="L174" i="6"/>
  <c r="K174" i="6"/>
  <c r="G174" i="6"/>
  <c r="D174" i="6"/>
  <c r="C174" i="6"/>
  <c r="L173" i="6"/>
  <c r="K173" i="6"/>
  <c r="G173" i="6"/>
  <c r="D173" i="6"/>
  <c r="C173" i="6"/>
  <c r="L172" i="6"/>
  <c r="K172" i="6"/>
  <c r="G172" i="6"/>
  <c r="D172" i="6"/>
  <c r="C172" i="6"/>
  <c r="L171" i="6"/>
  <c r="K171" i="6"/>
  <c r="G171" i="6"/>
  <c r="D171" i="6"/>
  <c r="C171" i="6"/>
  <c r="L170" i="6"/>
  <c r="K170" i="6"/>
  <c r="G170" i="6"/>
  <c r="D170" i="6"/>
  <c r="C170" i="6"/>
  <c r="L169" i="6"/>
  <c r="K169" i="6"/>
  <c r="G169" i="6"/>
  <c r="D169" i="6"/>
  <c r="C169" i="6"/>
  <c r="L168" i="6"/>
  <c r="K168" i="6"/>
  <c r="G168" i="6"/>
  <c r="D168" i="6"/>
  <c r="C168" i="6"/>
  <c r="L167" i="6"/>
  <c r="K167" i="6"/>
  <c r="G167" i="6"/>
  <c r="D167" i="6"/>
  <c r="C167" i="6"/>
  <c r="L166" i="6"/>
  <c r="K166" i="6"/>
  <c r="G166" i="6"/>
  <c r="D166" i="6"/>
  <c r="C166" i="6"/>
  <c r="L165" i="6"/>
  <c r="K165" i="6"/>
  <c r="G165" i="6"/>
  <c r="D165" i="6"/>
  <c r="C165" i="6"/>
  <c r="L164" i="6"/>
  <c r="K164" i="6"/>
  <c r="G164" i="6"/>
  <c r="D164" i="6"/>
  <c r="C164" i="6"/>
  <c r="L163" i="6"/>
  <c r="K163" i="6"/>
  <c r="G163" i="6"/>
  <c r="D163" i="6"/>
  <c r="C163" i="6"/>
  <c r="L162" i="6"/>
  <c r="K162" i="6"/>
  <c r="G162" i="6"/>
  <c r="D162" i="6"/>
  <c r="C162" i="6"/>
  <c r="L161" i="6"/>
  <c r="K161" i="6"/>
  <c r="G161" i="6"/>
  <c r="D161" i="6"/>
  <c r="C161" i="6"/>
  <c r="L160" i="6"/>
  <c r="K160" i="6"/>
  <c r="G160" i="6"/>
  <c r="D160" i="6"/>
  <c r="C160" i="6"/>
  <c r="L159" i="6"/>
  <c r="K159" i="6"/>
  <c r="G159" i="6"/>
  <c r="D159" i="6"/>
  <c r="C159" i="6"/>
  <c r="L158" i="6"/>
  <c r="K158" i="6"/>
  <c r="G158" i="6"/>
  <c r="D158" i="6"/>
  <c r="C158" i="6"/>
  <c r="L157" i="6"/>
  <c r="K157" i="6"/>
  <c r="G157" i="6"/>
  <c r="D157" i="6"/>
  <c r="C157" i="6"/>
  <c r="L156" i="6"/>
  <c r="K156" i="6"/>
  <c r="G156" i="6"/>
  <c r="D156" i="6"/>
  <c r="C156" i="6"/>
  <c r="L155" i="6"/>
  <c r="K155" i="6"/>
  <c r="G155" i="6"/>
  <c r="D155" i="6"/>
  <c r="C155" i="6"/>
  <c r="L154" i="6"/>
  <c r="K154" i="6"/>
  <c r="G154" i="6"/>
  <c r="D154" i="6"/>
  <c r="C154" i="6"/>
  <c r="L153" i="6"/>
  <c r="K153" i="6"/>
  <c r="G153" i="6"/>
  <c r="D153" i="6"/>
  <c r="C153" i="6"/>
  <c r="L152" i="6"/>
  <c r="K152" i="6"/>
  <c r="G152" i="6"/>
  <c r="D152" i="6"/>
  <c r="C152" i="6"/>
  <c r="L151" i="6"/>
  <c r="K151" i="6"/>
  <c r="G151" i="6"/>
  <c r="D151" i="6"/>
  <c r="C151" i="6"/>
  <c r="L150" i="6"/>
  <c r="K150" i="6"/>
  <c r="G150" i="6"/>
  <c r="D150" i="6"/>
  <c r="C150" i="6"/>
  <c r="L149" i="6"/>
  <c r="K149" i="6"/>
  <c r="G149" i="6"/>
  <c r="D149" i="6"/>
  <c r="C149" i="6"/>
  <c r="L148" i="6"/>
  <c r="K148" i="6"/>
  <c r="G148" i="6"/>
  <c r="D148" i="6"/>
  <c r="C148" i="6"/>
  <c r="L147" i="6"/>
  <c r="K147" i="6"/>
  <c r="G147" i="6"/>
  <c r="D147" i="6"/>
  <c r="C147" i="6"/>
  <c r="L146" i="6"/>
  <c r="K146" i="6"/>
  <c r="G146" i="6"/>
  <c r="D146" i="6"/>
  <c r="C146" i="6"/>
  <c r="L145" i="6"/>
  <c r="K145" i="6"/>
  <c r="G145" i="6"/>
  <c r="D145" i="6"/>
  <c r="C145" i="6"/>
  <c r="L144" i="6"/>
  <c r="K144" i="6"/>
  <c r="G144" i="6"/>
  <c r="D144" i="6"/>
  <c r="C144" i="6"/>
  <c r="L143" i="6"/>
  <c r="K143" i="6"/>
  <c r="G143" i="6"/>
  <c r="D143" i="6"/>
  <c r="C143" i="6"/>
  <c r="L142" i="6"/>
  <c r="K142" i="6"/>
  <c r="G142" i="6"/>
  <c r="D142" i="6"/>
  <c r="C142" i="6"/>
  <c r="L141" i="6"/>
  <c r="K141" i="6"/>
  <c r="G141" i="6"/>
  <c r="D141" i="6"/>
  <c r="C141" i="6"/>
  <c r="L140" i="6"/>
  <c r="K140" i="6"/>
  <c r="G140" i="6"/>
  <c r="D140" i="6"/>
  <c r="C140" i="6"/>
  <c r="L139" i="6"/>
  <c r="K139" i="6"/>
  <c r="G139" i="6"/>
  <c r="D139" i="6"/>
  <c r="C139" i="6"/>
  <c r="L138" i="6"/>
  <c r="K138" i="6"/>
  <c r="G138" i="6"/>
  <c r="D138" i="6"/>
  <c r="C138" i="6"/>
  <c r="L137" i="6"/>
  <c r="K137" i="6"/>
  <c r="G137" i="6"/>
  <c r="D137" i="6"/>
  <c r="C137" i="6"/>
  <c r="L136" i="6"/>
  <c r="K136" i="6"/>
  <c r="G136" i="6"/>
  <c r="D136" i="6"/>
  <c r="C136" i="6"/>
  <c r="L135" i="6"/>
  <c r="K135" i="6"/>
  <c r="G135" i="6"/>
  <c r="D135" i="6"/>
  <c r="C135" i="6"/>
  <c r="L134" i="6"/>
  <c r="K134" i="6"/>
  <c r="G134" i="6"/>
  <c r="D134" i="6"/>
  <c r="C134" i="6"/>
  <c r="L133" i="6"/>
  <c r="K133" i="6"/>
  <c r="G133" i="6"/>
  <c r="D133" i="6"/>
  <c r="C133" i="6"/>
  <c r="L132" i="6"/>
  <c r="K132" i="6"/>
  <c r="G132" i="6"/>
  <c r="D132" i="6"/>
  <c r="C132" i="6"/>
  <c r="L131" i="6"/>
  <c r="K131" i="6"/>
  <c r="G131" i="6"/>
  <c r="D131" i="6"/>
  <c r="C131" i="6"/>
  <c r="L130" i="6"/>
  <c r="K130" i="6"/>
  <c r="G130" i="6"/>
  <c r="D130" i="6"/>
  <c r="C130" i="6"/>
  <c r="L129" i="6"/>
  <c r="K129" i="6"/>
  <c r="G129" i="6"/>
  <c r="D129" i="6"/>
  <c r="C129" i="6"/>
  <c r="L128" i="6"/>
  <c r="K128" i="6"/>
  <c r="G128" i="6"/>
  <c r="D128" i="6"/>
  <c r="C128" i="6"/>
  <c r="L127" i="6"/>
  <c r="K127" i="6"/>
  <c r="G127" i="6"/>
  <c r="D127" i="6"/>
  <c r="C127" i="6"/>
  <c r="L126" i="6"/>
  <c r="K126" i="6"/>
  <c r="G126" i="6"/>
  <c r="D126" i="6"/>
  <c r="C126" i="6"/>
  <c r="L125" i="6"/>
  <c r="K125" i="6"/>
  <c r="G125" i="6"/>
  <c r="D125" i="6"/>
  <c r="C125" i="6"/>
  <c r="L124" i="6"/>
  <c r="K124" i="6"/>
  <c r="G124" i="6"/>
  <c r="D124" i="6"/>
  <c r="C124" i="6"/>
  <c r="L123" i="6"/>
  <c r="K123" i="6"/>
  <c r="G123" i="6"/>
  <c r="D123" i="6"/>
  <c r="C123" i="6"/>
  <c r="L122" i="6"/>
  <c r="K122" i="6"/>
  <c r="G122" i="6"/>
  <c r="D122" i="6"/>
  <c r="C122" i="6"/>
  <c r="L121" i="6"/>
  <c r="K121" i="6"/>
  <c r="G121" i="6"/>
  <c r="D121" i="6"/>
  <c r="C121" i="6"/>
  <c r="L120" i="6"/>
  <c r="K120" i="6"/>
  <c r="G120" i="6"/>
  <c r="D120" i="6"/>
  <c r="C120" i="6"/>
  <c r="L119" i="6"/>
  <c r="K119" i="6"/>
  <c r="G119" i="6"/>
  <c r="D119" i="6"/>
  <c r="C119" i="6"/>
  <c r="L118" i="6"/>
  <c r="K118" i="6"/>
  <c r="G118" i="6"/>
  <c r="D118" i="6"/>
  <c r="C118" i="6"/>
  <c r="L117" i="6"/>
  <c r="K117" i="6"/>
  <c r="G117" i="6"/>
  <c r="D117" i="6"/>
  <c r="C117" i="6"/>
  <c r="L116" i="6"/>
  <c r="K116" i="6"/>
  <c r="G116" i="6"/>
  <c r="D116" i="6"/>
  <c r="C116" i="6"/>
  <c r="L115" i="6"/>
  <c r="K115" i="6"/>
  <c r="G115" i="6"/>
  <c r="D115" i="6"/>
  <c r="C115" i="6"/>
  <c r="L114" i="6"/>
  <c r="K114" i="6"/>
  <c r="G114" i="6"/>
  <c r="D114" i="6"/>
  <c r="C114" i="6"/>
  <c r="L113" i="6"/>
  <c r="K113" i="6"/>
  <c r="G113" i="6"/>
  <c r="D113" i="6"/>
  <c r="C113" i="6"/>
  <c r="L112" i="6"/>
  <c r="K112" i="6"/>
  <c r="G112" i="6"/>
  <c r="D112" i="6"/>
  <c r="C112" i="6"/>
  <c r="L111" i="6"/>
  <c r="K111" i="6"/>
  <c r="G111" i="6"/>
  <c r="D111" i="6"/>
  <c r="C111" i="6"/>
  <c r="L110" i="6"/>
  <c r="K110" i="6"/>
  <c r="G110" i="6"/>
  <c r="D110" i="6"/>
  <c r="C110" i="6"/>
  <c r="L109" i="6"/>
  <c r="K109" i="6"/>
  <c r="G109" i="6"/>
  <c r="D109" i="6"/>
  <c r="C109" i="6"/>
  <c r="L108" i="6"/>
  <c r="K108" i="6"/>
  <c r="G108" i="6"/>
  <c r="D108" i="6"/>
  <c r="C108" i="6"/>
  <c r="L107" i="6"/>
  <c r="K107" i="6"/>
  <c r="G107" i="6"/>
  <c r="D107" i="6"/>
  <c r="C107" i="6"/>
  <c r="L106" i="6"/>
  <c r="K106" i="6"/>
  <c r="G106" i="6"/>
  <c r="D106" i="6"/>
  <c r="C106" i="6"/>
  <c r="L105" i="6"/>
  <c r="K105" i="6"/>
  <c r="G105" i="6"/>
  <c r="D105" i="6"/>
  <c r="C105" i="6"/>
  <c r="L104" i="6"/>
  <c r="K104" i="6"/>
  <c r="G104" i="6"/>
  <c r="D104" i="6"/>
  <c r="C104" i="6"/>
  <c r="L103" i="6"/>
  <c r="K103" i="6"/>
  <c r="G103" i="6"/>
  <c r="D103" i="6"/>
  <c r="C103" i="6"/>
  <c r="L102" i="6"/>
  <c r="K102" i="6"/>
  <c r="G102" i="6"/>
  <c r="D102" i="6"/>
  <c r="C102" i="6"/>
  <c r="L101" i="6"/>
  <c r="K101" i="6"/>
  <c r="G101" i="6"/>
  <c r="D101" i="6"/>
  <c r="C101" i="6"/>
  <c r="L100" i="6"/>
  <c r="K100" i="6"/>
  <c r="G100" i="6"/>
  <c r="D100" i="6"/>
  <c r="C100" i="6"/>
  <c r="L99" i="6"/>
  <c r="K99" i="6"/>
  <c r="G99" i="6"/>
  <c r="D99" i="6"/>
  <c r="C99" i="6"/>
  <c r="L98" i="6"/>
  <c r="K98" i="6"/>
  <c r="G98" i="6"/>
  <c r="D98" i="6"/>
  <c r="C98" i="6"/>
  <c r="L97" i="6"/>
  <c r="K97" i="6"/>
  <c r="G97" i="6"/>
  <c r="D97" i="6"/>
  <c r="C97" i="6"/>
  <c r="L96" i="6"/>
  <c r="K96" i="6"/>
  <c r="G96" i="6"/>
  <c r="D96" i="6"/>
  <c r="C96" i="6"/>
  <c r="L95" i="6"/>
  <c r="K95" i="6"/>
  <c r="G95" i="6"/>
  <c r="D95" i="6"/>
  <c r="C95" i="6"/>
  <c r="L94" i="6"/>
  <c r="K94" i="6"/>
  <c r="G94" i="6"/>
  <c r="D94" i="6"/>
  <c r="C94" i="6"/>
  <c r="L93" i="6"/>
  <c r="K93" i="6"/>
  <c r="G93" i="6"/>
  <c r="D93" i="6"/>
  <c r="C93" i="6"/>
  <c r="L92" i="6"/>
  <c r="K92" i="6"/>
  <c r="G92" i="6"/>
  <c r="D92" i="6"/>
  <c r="C92" i="6"/>
  <c r="L91" i="6"/>
  <c r="K91" i="6"/>
  <c r="G91" i="6"/>
  <c r="D91" i="6"/>
  <c r="C91" i="6"/>
  <c r="L90" i="6"/>
  <c r="K90" i="6"/>
  <c r="G90" i="6"/>
  <c r="D90" i="6"/>
  <c r="C90" i="6"/>
  <c r="L89" i="6"/>
  <c r="K89" i="6"/>
  <c r="G89" i="6"/>
  <c r="D89" i="6"/>
  <c r="C89" i="6"/>
  <c r="L88" i="6"/>
  <c r="K88" i="6"/>
  <c r="G88" i="6"/>
  <c r="D88" i="6"/>
  <c r="C88" i="6"/>
  <c r="L87" i="6"/>
  <c r="K87" i="6"/>
  <c r="G87" i="6"/>
  <c r="D87" i="6"/>
  <c r="C87" i="6"/>
  <c r="L86" i="6"/>
  <c r="K86" i="6"/>
  <c r="G86" i="6"/>
  <c r="D86" i="6"/>
  <c r="C86" i="6"/>
  <c r="L85" i="6"/>
  <c r="K85" i="6"/>
  <c r="G85" i="6"/>
  <c r="D85" i="6"/>
  <c r="C85" i="6"/>
  <c r="L84" i="6"/>
  <c r="K84" i="6"/>
  <c r="G84" i="6"/>
  <c r="D84" i="6"/>
  <c r="C84" i="6"/>
  <c r="L83" i="6"/>
  <c r="K83" i="6"/>
  <c r="G83" i="6"/>
  <c r="D83" i="6"/>
  <c r="C83" i="6"/>
  <c r="L82" i="6"/>
  <c r="K82" i="6"/>
  <c r="G82" i="6"/>
  <c r="D82" i="6"/>
  <c r="C82" i="6"/>
  <c r="L81" i="6"/>
  <c r="K81" i="6"/>
  <c r="G81" i="6"/>
  <c r="D81" i="6"/>
  <c r="C81" i="6"/>
  <c r="L80" i="6"/>
  <c r="K80" i="6"/>
  <c r="G80" i="6"/>
  <c r="D80" i="6"/>
  <c r="C80" i="6"/>
  <c r="L79" i="6"/>
  <c r="K79" i="6"/>
  <c r="G79" i="6"/>
  <c r="D79" i="6"/>
  <c r="C79" i="6"/>
  <c r="L78" i="6"/>
  <c r="K78" i="6"/>
  <c r="G78" i="6"/>
  <c r="D78" i="6"/>
  <c r="C78" i="6"/>
  <c r="L77" i="6"/>
  <c r="K77" i="6"/>
  <c r="G77" i="6"/>
  <c r="D77" i="6"/>
  <c r="C77" i="6"/>
  <c r="L76" i="6"/>
  <c r="K76" i="6"/>
  <c r="G76" i="6"/>
  <c r="D76" i="6"/>
  <c r="C76" i="6"/>
  <c r="L75" i="6"/>
  <c r="K75" i="6"/>
  <c r="G75" i="6"/>
  <c r="D75" i="6"/>
  <c r="C75" i="6"/>
  <c r="L74" i="6"/>
  <c r="K74" i="6"/>
  <c r="G74" i="6"/>
  <c r="D74" i="6"/>
  <c r="C74" i="6"/>
  <c r="L73" i="6"/>
  <c r="K73" i="6"/>
  <c r="G73" i="6"/>
  <c r="D73" i="6"/>
  <c r="C73" i="6"/>
  <c r="L72" i="6"/>
  <c r="K72" i="6"/>
  <c r="G72" i="6"/>
  <c r="D72" i="6"/>
  <c r="C72" i="6"/>
  <c r="L71" i="6"/>
  <c r="K71" i="6"/>
  <c r="G71" i="6"/>
  <c r="D71" i="6"/>
  <c r="C71" i="6"/>
  <c r="L70" i="6"/>
  <c r="K70" i="6"/>
  <c r="G70" i="6"/>
  <c r="D70" i="6"/>
  <c r="C70" i="6"/>
  <c r="L69" i="6"/>
  <c r="K69" i="6"/>
  <c r="G69" i="6"/>
  <c r="D69" i="6"/>
  <c r="C69" i="6"/>
  <c r="L68" i="6"/>
  <c r="K68" i="6"/>
  <c r="G68" i="6"/>
  <c r="D68" i="6"/>
  <c r="C68" i="6"/>
  <c r="L67" i="6"/>
  <c r="K67" i="6"/>
  <c r="G67" i="6"/>
  <c r="D67" i="6"/>
  <c r="C67" i="6"/>
  <c r="L66" i="6"/>
  <c r="K66" i="6"/>
  <c r="G66" i="6"/>
  <c r="D66" i="6"/>
  <c r="C66" i="6"/>
  <c r="L65" i="6"/>
  <c r="K65" i="6"/>
  <c r="G65" i="6"/>
  <c r="D65" i="6"/>
  <c r="C65" i="6"/>
  <c r="L64" i="6"/>
  <c r="K64" i="6"/>
  <c r="G64" i="6"/>
  <c r="D64" i="6"/>
  <c r="C64" i="6"/>
  <c r="L63" i="6"/>
  <c r="K63" i="6"/>
  <c r="G63" i="6"/>
  <c r="D63" i="6"/>
  <c r="C63" i="6"/>
  <c r="L62" i="6"/>
  <c r="K62" i="6"/>
  <c r="G62" i="6"/>
  <c r="D62" i="6"/>
  <c r="C62" i="6"/>
  <c r="L61" i="6"/>
  <c r="K61" i="6"/>
  <c r="G61" i="6"/>
  <c r="D61" i="6"/>
  <c r="C61" i="6"/>
  <c r="L60" i="6"/>
  <c r="K60" i="6"/>
  <c r="G60" i="6"/>
  <c r="D60" i="6"/>
  <c r="C60" i="6"/>
  <c r="L59" i="6"/>
  <c r="K59" i="6"/>
  <c r="G59" i="6"/>
  <c r="D59" i="6"/>
  <c r="C59" i="6"/>
  <c r="L58" i="6"/>
  <c r="K58" i="6"/>
  <c r="G58" i="6"/>
  <c r="D58" i="6"/>
  <c r="C58" i="6"/>
  <c r="L57" i="6"/>
  <c r="K57" i="6"/>
  <c r="G57" i="6"/>
  <c r="D57" i="6"/>
  <c r="C57" i="6"/>
  <c r="L56" i="6"/>
  <c r="K56" i="6"/>
  <c r="G56" i="6"/>
  <c r="D56" i="6"/>
  <c r="C56" i="6"/>
  <c r="L55" i="6"/>
  <c r="K55" i="6"/>
  <c r="G55" i="6"/>
  <c r="D55" i="6"/>
  <c r="C55" i="6"/>
  <c r="L54" i="6"/>
  <c r="K54" i="6"/>
  <c r="G54" i="6"/>
  <c r="D54" i="6"/>
  <c r="C54" i="6"/>
  <c r="L53" i="6"/>
  <c r="K53" i="6"/>
  <c r="G53" i="6"/>
  <c r="D53" i="6"/>
  <c r="C53" i="6"/>
  <c r="L52" i="6"/>
  <c r="K52" i="6"/>
  <c r="G52" i="6"/>
  <c r="D52" i="6"/>
  <c r="C52" i="6"/>
  <c r="L51" i="6"/>
  <c r="K51" i="6"/>
  <c r="G51" i="6"/>
  <c r="D51" i="6"/>
  <c r="C51" i="6"/>
  <c r="L50" i="6"/>
  <c r="K50" i="6"/>
  <c r="G50" i="6"/>
  <c r="D50" i="6"/>
  <c r="C50" i="6"/>
  <c r="L49" i="6"/>
  <c r="K49" i="6"/>
  <c r="G49" i="6"/>
  <c r="D49" i="6"/>
  <c r="C49" i="6"/>
  <c r="L48" i="6"/>
  <c r="K48" i="6"/>
  <c r="G48" i="6"/>
  <c r="D48" i="6"/>
  <c r="C48" i="6"/>
  <c r="L47" i="6"/>
  <c r="K47" i="6"/>
  <c r="G47" i="6"/>
  <c r="D47" i="6"/>
  <c r="C47" i="6"/>
  <c r="L46" i="6"/>
  <c r="K46" i="6"/>
  <c r="G46" i="6"/>
  <c r="D46" i="6"/>
  <c r="C46" i="6"/>
  <c r="L45" i="6"/>
  <c r="K45" i="6"/>
  <c r="G45" i="6"/>
  <c r="D45" i="6"/>
  <c r="C45" i="6"/>
  <c r="L44" i="6"/>
  <c r="K44" i="6"/>
  <c r="G44" i="6"/>
  <c r="D44" i="6"/>
  <c r="C44" i="6"/>
  <c r="L43" i="6"/>
  <c r="K43" i="6"/>
  <c r="G43" i="6"/>
  <c r="D43" i="6"/>
  <c r="C43" i="6"/>
  <c r="L42" i="6"/>
  <c r="K42" i="6"/>
  <c r="G42" i="6"/>
  <c r="D42" i="6"/>
  <c r="C42" i="6"/>
  <c r="L41" i="6"/>
  <c r="K41" i="6"/>
  <c r="G41" i="6"/>
  <c r="D41" i="6"/>
  <c r="C41" i="6"/>
  <c r="L40" i="6"/>
  <c r="K40" i="6"/>
  <c r="G40" i="6"/>
  <c r="D40" i="6"/>
  <c r="C40" i="6"/>
  <c r="L39" i="6"/>
  <c r="K39" i="6"/>
  <c r="G39" i="6"/>
  <c r="D39" i="6"/>
  <c r="C39" i="6"/>
  <c r="L38" i="6"/>
  <c r="K38" i="6"/>
  <c r="G38" i="6"/>
  <c r="D38" i="6"/>
  <c r="C38" i="6"/>
  <c r="L37" i="6"/>
  <c r="K37" i="6"/>
  <c r="G37" i="6"/>
  <c r="D37" i="6"/>
  <c r="C37" i="6"/>
  <c r="L36" i="6"/>
  <c r="K36" i="6"/>
  <c r="G36" i="6"/>
  <c r="D36" i="6"/>
  <c r="C36" i="6"/>
  <c r="L35" i="6"/>
  <c r="K35" i="6"/>
  <c r="G35" i="6"/>
  <c r="D35" i="6"/>
  <c r="C35" i="6"/>
  <c r="L34" i="6"/>
  <c r="K34" i="6"/>
  <c r="G34" i="6"/>
  <c r="D34" i="6"/>
  <c r="C34" i="6"/>
  <c r="L33" i="6"/>
  <c r="K33" i="6"/>
  <c r="G33" i="6"/>
  <c r="D33" i="6"/>
  <c r="C33" i="6"/>
  <c r="L32" i="6"/>
  <c r="K32" i="6"/>
  <c r="G32" i="6"/>
  <c r="D32" i="6"/>
  <c r="C32" i="6"/>
  <c r="L31" i="6"/>
  <c r="K31" i="6"/>
  <c r="G31" i="6"/>
  <c r="D31" i="6"/>
  <c r="C31" i="6"/>
  <c r="L30" i="6"/>
  <c r="K30" i="6"/>
  <c r="G30" i="6"/>
  <c r="D30" i="6"/>
  <c r="C30" i="6"/>
  <c r="L29" i="6"/>
  <c r="K29" i="6"/>
  <c r="G29" i="6"/>
  <c r="D29" i="6"/>
  <c r="C29" i="6"/>
  <c r="L28" i="6"/>
  <c r="K28" i="6"/>
  <c r="G28" i="6"/>
  <c r="D28" i="6"/>
  <c r="C28" i="6"/>
  <c r="L27" i="6"/>
  <c r="K27" i="6"/>
  <c r="G27" i="6"/>
  <c r="D27" i="6"/>
  <c r="C27" i="6"/>
  <c r="L26" i="6"/>
  <c r="K26" i="6"/>
  <c r="G26" i="6"/>
  <c r="D26" i="6"/>
  <c r="C26" i="6"/>
  <c r="L25" i="6"/>
  <c r="K25" i="6"/>
  <c r="G25" i="6"/>
  <c r="D25" i="6"/>
  <c r="C25" i="6"/>
  <c r="L24" i="6"/>
  <c r="K24" i="6"/>
  <c r="G24" i="6"/>
  <c r="D24" i="6"/>
  <c r="C24" i="6"/>
  <c r="L23" i="6"/>
  <c r="K23" i="6"/>
  <c r="G23" i="6"/>
  <c r="D23" i="6"/>
  <c r="C23" i="6"/>
  <c r="L22" i="6"/>
  <c r="K22" i="6"/>
  <c r="G22" i="6"/>
  <c r="D22" i="6"/>
  <c r="C22" i="6"/>
  <c r="L21" i="6"/>
  <c r="K21" i="6"/>
  <c r="G21" i="6"/>
  <c r="D21" i="6"/>
  <c r="C21" i="6"/>
  <c r="L20" i="6"/>
  <c r="K20" i="6"/>
  <c r="G20" i="6"/>
  <c r="D20" i="6"/>
  <c r="C20" i="6"/>
  <c r="L19" i="6"/>
  <c r="K19" i="6"/>
  <c r="G19" i="6"/>
  <c r="D19" i="6"/>
  <c r="C19" i="6"/>
  <c r="L18" i="6"/>
  <c r="K18" i="6"/>
  <c r="G18" i="6"/>
  <c r="D18" i="6"/>
  <c r="C18" i="6"/>
  <c r="L17" i="6"/>
  <c r="K17" i="6"/>
  <c r="G17" i="6"/>
  <c r="D17" i="6"/>
  <c r="C17" i="6"/>
  <c r="L16" i="6"/>
  <c r="K16" i="6"/>
  <c r="G16" i="6"/>
  <c r="D16" i="6"/>
  <c r="C16" i="6"/>
  <c r="L15" i="6"/>
  <c r="K15" i="6"/>
  <c r="G15" i="6"/>
  <c r="D15" i="6"/>
  <c r="C15" i="6"/>
  <c r="L14" i="6"/>
  <c r="K14" i="6"/>
  <c r="G14" i="6"/>
  <c r="D14" i="6"/>
  <c r="C14" i="6"/>
  <c r="L13" i="6"/>
  <c r="K13" i="6"/>
  <c r="G13" i="6"/>
  <c r="D13" i="6"/>
  <c r="C13" i="6"/>
  <c r="L12" i="6"/>
  <c r="K12" i="6"/>
  <c r="G12" i="6"/>
  <c r="D12" i="6"/>
  <c r="C12" i="6"/>
  <c r="L11" i="6"/>
  <c r="K11" i="6"/>
  <c r="G11" i="6"/>
  <c r="D11" i="6"/>
  <c r="C11" i="6"/>
  <c r="L10" i="6"/>
  <c r="K10" i="6"/>
  <c r="G10" i="6"/>
  <c r="D10" i="6"/>
  <c r="C10" i="6"/>
  <c r="L9" i="6"/>
  <c r="K9" i="6"/>
  <c r="G9" i="6"/>
  <c r="D9" i="6"/>
  <c r="C9" i="6"/>
  <c r="L8" i="6"/>
  <c r="K8" i="6"/>
  <c r="G8" i="6"/>
  <c r="D8" i="6"/>
  <c r="C8" i="6"/>
  <c r="L7" i="6"/>
  <c r="K7" i="6"/>
  <c r="G7" i="6"/>
  <c r="D7" i="6"/>
  <c r="C7" i="6"/>
  <c r="L6" i="6"/>
  <c r="K6" i="6"/>
  <c r="G6" i="6"/>
  <c r="D6" i="6"/>
  <c r="C6" i="6"/>
  <c r="L5" i="6"/>
  <c r="K5" i="6"/>
  <c r="G5" i="6"/>
  <c r="D5" i="6"/>
  <c r="C5" i="6"/>
  <c r="L4" i="6"/>
  <c r="K4" i="6"/>
  <c r="G4" i="6"/>
  <c r="D4" i="6"/>
  <c r="C4" i="6"/>
  <c r="L3" i="6"/>
  <c r="K3" i="6"/>
  <c r="G3" i="6"/>
  <c r="D3" i="6"/>
  <c r="C3" i="6"/>
  <c r="L2" i="6"/>
  <c r="K2" i="6"/>
  <c r="G2" i="6"/>
  <c r="D2" i="6"/>
  <c r="C2" i="6"/>
  <c r="H166" i="5"/>
  <c r="I166" i="5" s="1"/>
  <c r="C4" i="3" a="1"/>
  <c r="C4" i="3" s="1"/>
  <c r="G157" i="5" l="1"/>
  <c r="G37" i="5"/>
  <c r="G33" i="5"/>
  <c r="H187" i="5"/>
  <c r="I187" i="5" s="1"/>
  <c r="G164" i="5"/>
  <c r="G189" i="5"/>
  <c r="G149" i="5"/>
  <c r="G137" i="5"/>
  <c r="G97" i="5"/>
  <c r="G69" i="5"/>
  <c r="G65" i="5"/>
  <c r="G53" i="5"/>
  <c r="G49" i="5"/>
  <c r="G29" i="5"/>
  <c r="G21" i="5"/>
  <c r="G17" i="5"/>
  <c r="G13" i="5"/>
  <c r="G5" i="5"/>
  <c r="G114" i="5"/>
  <c r="G169" i="5"/>
  <c r="H177" i="5"/>
  <c r="I177" i="5" s="1"/>
  <c r="H161" i="5"/>
  <c r="I161" i="5" s="1"/>
  <c r="H151" i="5"/>
  <c r="H147" i="5"/>
  <c r="G165" i="5"/>
  <c r="G118" i="5"/>
  <c r="H176" i="5"/>
  <c r="I176" i="5" s="1"/>
  <c r="G184" i="5"/>
  <c r="G180" i="5"/>
  <c r="H160" i="5"/>
  <c r="I160" i="5" s="1"/>
  <c r="H168" i="5"/>
  <c r="I168" i="5" s="1"/>
  <c r="G152" i="5"/>
  <c r="G148" i="5"/>
  <c r="G144" i="5"/>
  <c r="G124" i="5"/>
  <c r="G120" i="5"/>
  <c r="G108" i="5"/>
  <c r="G96" i="5"/>
  <c r="G88" i="5"/>
  <c r="G84" i="5"/>
  <c r="G68" i="5"/>
  <c r="G36" i="5"/>
  <c r="G20" i="5"/>
  <c r="G9" i="5"/>
  <c r="G153" i="5"/>
  <c r="G145" i="5"/>
  <c r="G141" i="5"/>
  <c r="G133" i="5"/>
  <c r="G129" i="5"/>
  <c r="G125" i="5"/>
  <c r="G121" i="5"/>
  <c r="G117" i="5"/>
  <c r="G113" i="5"/>
  <c r="G109" i="5"/>
  <c r="G105" i="5"/>
  <c r="G101" i="5"/>
  <c r="G93" i="5"/>
  <c r="G89" i="5"/>
  <c r="G85" i="5"/>
  <c r="G81" i="5"/>
  <c r="G77" i="5"/>
  <c r="G73" i="5"/>
  <c r="G61" i="5"/>
  <c r="G57" i="5"/>
  <c r="G45" i="5"/>
  <c r="G41" i="5"/>
  <c r="G25" i="5"/>
  <c r="G16" i="5"/>
  <c r="G12" i="5"/>
  <c r="G8" i="5"/>
  <c r="G4" i="5"/>
  <c r="G171" i="5"/>
  <c r="G86" i="5"/>
  <c r="G82" i="5"/>
  <c r="G78" i="5"/>
  <c r="G42" i="5"/>
  <c r="G26" i="5"/>
  <c r="G10" i="5"/>
  <c r="G156" i="5"/>
  <c r="H144" i="5"/>
  <c r="G140" i="5"/>
  <c r="G136" i="5"/>
  <c r="G132" i="5"/>
  <c r="G128" i="5"/>
  <c r="G116" i="5"/>
  <c r="G112" i="5"/>
  <c r="G104" i="5"/>
  <c r="G100" i="5"/>
  <c r="G92" i="5"/>
  <c r="G80" i="5"/>
  <c r="G76" i="5"/>
  <c r="G72" i="5"/>
  <c r="G64" i="5"/>
  <c r="G60" i="5"/>
  <c r="G56" i="5"/>
  <c r="G48" i="5"/>
  <c r="G44" i="5"/>
  <c r="G40" i="5"/>
  <c r="G32" i="5"/>
  <c r="G28" i="5"/>
  <c r="G24" i="5"/>
  <c r="G173" i="5"/>
  <c r="H181" i="5"/>
  <c r="I181" i="5" s="1"/>
  <c r="G185" i="5"/>
  <c r="H188" i="5"/>
  <c r="I188" i="5" s="1"/>
  <c r="H172" i="5"/>
  <c r="I172" i="5" s="1"/>
  <c r="G6" i="5"/>
  <c r="H154" i="5"/>
  <c r="G134" i="5"/>
  <c r="G130" i="5"/>
  <c r="G126" i="5"/>
  <c r="G122" i="5"/>
  <c r="G106" i="5"/>
  <c r="G102" i="5"/>
  <c r="G98" i="5"/>
  <c r="G94" i="5"/>
  <c r="G90" i="5"/>
  <c r="G74" i="5"/>
  <c r="G58" i="5"/>
  <c r="G38" i="5"/>
  <c r="G34" i="5"/>
  <c r="G30" i="5"/>
  <c r="G22" i="5"/>
  <c r="G18" i="5"/>
  <c r="G14" i="5"/>
  <c r="H143" i="5"/>
  <c r="H146" i="5"/>
  <c r="G146" i="5"/>
  <c r="H70" i="5"/>
  <c r="G70" i="5"/>
  <c r="H62" i="5"/>
  <c r="G62" i="5"/>
  <c r="H50" i="5"/>
  <c r="G50" i="5"/>
  <c r="G183" i="5"/>
  <c r="G179" i="5"/>
  <c r="G175" i="5"/>
  <c r="G167" i="5"/>
  <c r="G163" i="5"/>
  <c r="G159" i="5"/>
  <c r="G151" i="5"/>
  <c r="G147" i="5"/>
  <c r="H150" i="5"/>
  <c r="G150" i="5"/>
  <c r="H142" i="5"/>
  <c r="G142" i="5"/>
  <c r="H66" i="5"/>
  <c r="G66" i="5"/>
  <c r="H46" i="5"/>
  <c r="G46" i="5"/>
  <c r="H139" i="5"/>
  <c r="G190" i="5"/>
  <c r="G186" i="5"/>
  <c r="G182" i="5"/>
  <c r="G178" i="5"/>
  <c r="G174" i="5"/>
  <c r="G170" i="5"/>
  <c r="G166" i="5"/>
  <c r="G162" i="5"/>
  <c r="G154" i="5"/>
  <c r="H138" i="5"/>
  <c r="G138" i="5"/>
  <c r="H54" i="5"/>
  <c r="G54" i="5"/>
  <c r="H74" i="5"/>
  <c r="H58" i="5"/>
  <c r="H157" i="5"/>
  <c r="H153" i="5"/>
  <c r="H149" i="5"/>
  <c r="H145" i="5"/>
  <c r="H141" i="5"/>
  <c r="H156" i="5"/>
  <c r="H152" i="5"/>
  <c r="H148" i="5"/>
  <c r="H140" i="5"/>
  <c r="H155" i="5"/>
  <c r="H129" i="5"/>
  <c r="H125" i="5"/>
  <c r="H121" i="5"/>
  <c r="H117" i="5"/>
  <c r="H113" i="5"/>
  <c r="H109" i="5"/>
  <c r="H105" i="5"/>
  <c r="H101" i="5"/>
  <c r="H97" i="5"/>
  <c r="H93" i="5"/>
  <c r="H89" i="5"/>
  <c r="H85" i="5"/>
  <c r="H81" i="5"/>
  <c r="H77" i="5"/>
  <c r="H73" i="5"/>
  <c r="H69" i="5"/>
  <c r="H65" i="5"/>
  <c r="H61" i="5"/>
  <c r="H57" i="5"/>
  <c r="H53" i="5"/>
  <c r="H49" i="5"/>
  <c r="H45" i="5"/>
  <c r="H137" i="5"/>
  <c r="H133" i="5"/>
  <c r="H41" i="5"/>
  <c r="H37" i="5"/>
  <c r="H33" i="5"/>
  <c r="H29" i="5"/>
  <c r="H25" i="5"/>
  <c r="H21" i="5"/>
  <c r="H17" i="5"/>
  <c r="H13" i="5"/>
  <c r="H9" i="5"/>
  <c r="H5" i="5"/>
  <c r="H134" i="5"/>
  <c r="H130" i="5"/>
  <c r="H126" i="5"/>
  <c r="H122" i="5"/>
  <c r="H118" i="5"/>
  <c r="H114" i="5"/>
  <c r="H110" i="5"/>
  <c r="H106" i="5"/>
  <c r="H102" i="5"/>
  <c r="H98" i="5"/>
  <c r="H94" i="5"/>
  <c r="H90" i="5"/>
  <c r="H86" i="5"/>
  <c r="H82" i="5"/>
  <c r="H78" i="5"/>
  <c r="H42" i="5"/>
  <c r="H38" i="5"/>
  <c r="H34" i="5"/>
  <c r="H30" i="5"/>
  <c r="H26" i="5"/>
  <c r="H22" i="5"/>
  <c r="H18" i="5"/>
  <c r="H14" i="5"/>
  <c r="H10" i="5"/>
  <c r="H6" i="5"/>
  <c r="H51" i="5"/>
  <c r="H47" i="5"/>
  <c r="H132" i="5"/>
  <c r="H128" i="5"/>
  <c r="H124" i="5"/>
  <c r="H120" i="5"/>
  <c r="H116" i="5"/>
  <c r="H112" i="5"/>
  <c r="H108" i="5"/>
  <c r="H104" i="5"/>
  <c r="H100" i="5"/>
  <c r="H96" i="5"/>
  <c r="H92" i="5"/>
  <c r="H88" i="5"/>
  <c r="H84" i="5"/>
  <c r="H80" i="5"/>
  <c r="H76" i="5"/>
  <c r="H72" i="5"/>
  <c r="H68" i="5"/>
  <c r="H64" i="5"/>
  <c r="H60" i="5"/>
  <c r="H56" i="5"/>
  <c r="H52" i="5"/>
  <c r="H48" i="5"/>
  <c r="H44" i="5"/>
  <c r="H40" i="5"/>
  <c r="H36" i="5"/>
  <c r="H32" i="5"/>
  <c r="H28" i="5"/>
  <c r="H24" i="5"/>
  <c r="H20" i="5"/>
  <c r="H16" i="5"/>
  <c r="H12" i="5"/>
  <c r="H8" i="5"/>
  <c r="H4" i="5"/>
  <c r="H136" i="5"/>
  <c r="H2" i="5"/>
  <c r="H135" i="5"/>
  <c r="H131" i="5"/>
  <c r="H127" i="5"/>
  <c r="H123" i="5"/>
  <c r="H119" i="5"/>
  <c r="H115" i="5"/>
  <c r="H111" i="5"/>
  <c r="H107" i="5"/>
  <c r="H103" i="5"/>
  <c r="H99" i="5"/>
  <c r="H95" i="5"/>
  <c r="H91" i="5"/>
  <c r="H87" i="5"/>
  <c r="H83" i="5"/>
  <c r="H79" i="5"/>
  <c r="H75" i="5"/>
  <c r="H71" i="5"/>
  <c r="H67" i="5"/>
  <c r="H63" i="5"/>
  <c r="H59" i="5"/>
  <c r="H55" i="5"/>
  <c r="H43" i="5"/>
  <c r="H39" i="5"/>
  <c r="H35" i="5"/>
  <c r="H31" i="5"/>
  <c r="H27" i="5"/>
  <c r="H23" i="5"/>
  <c r="H19" i="5"/>
  <c r="H15" i="5"/>
  <c r="H11" i="5"/>
  <c r="H7" i="5"/>
  <c r="H3" i="5"/>
  <c r="I31" i="5" l="1"/>
  <c r="I15" i="5"/>
  <c r="I151" i="5"/>
  <c r="I87" i="5"/>
  <c r="I135" i="5"/>
  <c r="I40" i="5"/>
  <c r="I88" i="5"/>
  <c r="I47" i="5"/>
  <c r="I78" i="5"/>
  <c r="I126" i="5"/>
  <c r="I65" i="5"/>
  <c r="I55" i="5"/>
  <c r="I119" i="5"/>
  <c r="I24" i="5"/>
  <c r="I56" i="5"/>
  <c r="I120" i="5"/>
  <c r="I14" i="5"/>
  <c r="I94" i="5"/>
  <c r="I9" i="5"/>
  <c r="I49" i="5"/>
  <c r="I113" i="5"/>
  <c r="I129" i="5"/>
  <c r="I149" i="5"/>
  <c r="I138" i="5"/>
  <c r="I3" i="5"/>
  <c r="I35" i="5"/>
  <c r="I91" i="5"/>
  <c r="I123" i="5"/>
  <c r="I12" i="5"/>
  <c r="I60" i="5"/>
  <c r="I92" i="5"/>
  <c r="I108" i="5"/>
  <c r="I18" i="5"/>
  <c r="I82" i="5"/>
  <c r="I114" i="5"/>
  <c r="I130" i="5"/>
  <c r="I29" i="5"/>
  <c r="I69" i="5"/>
  <c r="I85" i="5"/>
  <c r="I117" i="5"/>
  <c r="I153" i="5"/>
  <c r="I142" i="5"/>
  <c r="I70" i="5"/>
  <c r="I7" i="5"/>
  <c r="I23" i="5"/>
  <c r="I39" i="5"/>
  <c r="I63" i="5"/>
  <c r="I79" i="5"/>
  <c r="I95" i="5"/>
  <c r="I111" i="5"/>
  <c r="I127" i="5"/>
  <c r="I136" i="5"/>
  <c r="I16" i="5"/>
  <c r="I32" i="5"/>
  <c r="I48" i="5"/>
  <c r="I64" i="5"/>
  <c r="I80" i="5"/>
  <c r="I96" i="5"/>
  <c r="I112" i="5"/>
  <c r="I128" i="5"/>
  <c r="I6" i="5"/>
  <c r="I22" i="5"/>
  <c r="I38" i="5"/>
  <c r="I86" i="5"/>
  <c r="I102" i="5"/>
  <c r="I118" i="5"/>
  <c r="I134" i="5"/>
  <c r="I17" i="5"/>
  <c r="I33" i="5"/>
  <c r="I137" i="5"/>
  <c r="I57" i="5"/>
  <c r="I73" i="5"/>
  <c r="I89" i="5"/>
  <c r="I105" i="5"/>
  <c r="I121" i="5"/>
  <c r="I140" i="5"/>
  <c r="I141" i="5"/>
  <c r="I157" i="5"/>
  <c r="I54" i="5"/>
  <c r="I154" i="5"/>
  <c r="I144" i="5"/>
  <c r="I147" i="5"/>
  <c r="I71" i="5"/>
  <c r="I103" i="5"/>
  <c r="I8" i="5"/>
  <c r="I72" i="5"/>
  <c r="I104" i="5"/>
  <c r="I30" i="5"/>
  <c r="I110" i="5"/>
  <c r="I25" i="5"/>
  <c r="I41" i="5"/>
  <c r="I81" i="5"/>
  <c r="I97" i="5"/>
  <c r="I152" i="5"/>
  <c r="I74" i="5"/>
  <c r="I143" i="5"/>
  <c r="I19" i="5"/>
  <c r="I59" i="5"/>
  <c r="I75" i="5"/>
  <c r="I107" i="5"/>
  <c r="I28" i="5"/>
  <c r="I44" i="5"/>
  <c r="I76" i="5"/>
  <c r="I124" i="5"/>
  <c r="I51" i="5"/>
  <c r="I34" i="5"/>
  <c r="I98" i="5"/>
  <c r="I13" i="5"/>
  <c r="I133" i="5"/>
  <c r="I53" i="5"/>
  <c r="I101" i="5"/>
  <c r="I155" i="5"/>
  <c r="I156" i="5"/>
  <c r="I46" i="5"/>
  <c r="I50" i="5"/>
  <c r="I11" i="5"/>
  <c r="I27" i="5"/>
  <c r="I43" i="5"/>
  <c r="I67" i="5"/>
  <c r="I83" i="5"/>
  <c r="I99" i="5"/>
  <c r="I115" i="5"/>
  <c r="I131" i="5"/>
  <c r="I4" i="5"/>
  <c r="I20" i="5"/>
  <c r="I36" i="5"/>
  <c r="I52" i="5"/>
  <c r="I68" i="5"/>
  <c r="I84" i="5"/>
  <c r="I100" i="5"/>
  <c r="I116" i="5"/>
  <c r="I132" i="5"/>
  <c r="I10" i="5"/>
  <c r="I26" i="5"/>
  <c r="I42" i="5"/>
  <c r="I90" i="5"/>
  <c r="I106" i="5"/>
  <c r="I122" i="5"/>
  <c r="I5" i="5"/>
  <c r="I21" i="5"/>
  <c r="I37" i="5"/>
  <c r="I45" i="5"/>
  <c r="I61" i="5"/>
  <c r="I77" i="5"/>
  <c r="I93" i="5"/>
  <c r="I109" i="5"/>
  <c r="I125" i="5"/>
  <c r="I148" i="5"/>
  <c r="I145" i="5"/>
  <c r="I58" i="5"/>
  <c r="I139" i="5"/>
  <c r="I66" i="5"/>
  <c r="I150" i="5"/>
  <c r="I62" i="5"/>
  <c r="I146" i="5"/>
  <c r="I2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<sst xmlns="http://schemas.openxmlformats.org/spreadsheetml/2006/main" count="1435" uniqueCount="342">
  <si>
    <t>用語</t>
    <rPh sb="0" eb="2">
      <t>ヨウゴ</t>
    </rPh>
    <phoneticPr fontId="1"/>
  </si>
  <si>
    <t>意味</t>
    <rPh sb="0" eb="2">
      <t>イミ</t>
    </rPh>
    <phoneticPr fontId="1"/>
  </si>
  <si>
    <t>閲覧数</t>
    <rPh sb="0" eb="3">
      <t>エツランスウ</t>
    </rPh>
    <phoneticPr fontId="1"/>
  </si>
  <si>
    <t>リンク</t>
    <phoneticPr fontId="1"/>
  </si>
  <si>
    <t>作成日</t>
    <rPh sb="0" eb="3">
      <t>サクセイビ</t>
    </rPh>
    <phoneticPr fontId="1"/>
  </si>
  <si>
    <t>更新日</t>
    <rPh sb="0" eb="3">
      <t>コウシンビ</t>
    </rPh>
    <phoneticPr fontId="1"/>
  </si>
  <si>
    <t>修正内容</t>
    <rPh sb="0" eb="4">
      <t>シュウセイナイヨウ</t>
    </rPh>
    <phoneticPr fontId="1"/>
  </si>
  <si>
    <t>Gitの基本用語</t>
  </si>
  <si>
    <t>プロジェクトのファイルとその履歴を保存する場所。</t>
  </si>
  <si>
    <t>変更をリポジトリに保存すること。特定の状態をスナップショットとして記録します。</t>
  </si>
  <si>
    <t>ローカルリポジトリの変更をリモートリポジトリに送信すること。</t>
  </si>
  <si>
    <t>リモートリポジトリの変更をローカルリポジトリに取り込むこと。</t>
  </si>
  <si>
    <t>開発の独立したライン。新しい機能や修正を行うために使用します。</t>
  </si>
  <si>
    <t>異なるブランチの変更を統合すること。</t>
  </si>
  <si>
    <t>コミットするために変更を一時的に保存するエリア。</t>
  </si>
  <si>
    <t>リモートリポジトリのコピーをローカルに作成すること。</t>
  </si>
  <si>
    <t>他のリポジトリのコピーを作成し、自分のアカウント下で管理すること。</t>
  </si>
  <si>
    <t>ブランチ名を変更する。</t>
  </si>
  <si>
    <t>コミット履歴をグラフ形式で表示する。</t>
  </si>
  <si>
    <t>現在の作業ツリーの状態を表示する。</t>
  </si>
  <si>
    <t>すべての変更をステージングエリアに追加する。</t>
  </si>
  <si>
    <t>ステージングエリアの変更をコミットする。</t>
  </si>
  <si>
    <t>指定したブランチの変更をリモートリポジトリにプッシュする。</t>
  </si>
  <si>
    <t>設定されているリモートリポジトリのURLを表示する。</t>
  </si>
  <si>
    <t>リモートリポジトリのURLを変更する。</t>
  </si>
  <si>
    <t>リモートリポジトリをローカルにクローンする。</t>
  </si>
  <si>
    <t>リモートリポジトリから指定したブランチを削除する。</t>
  </si>
  <si>
    <t>リポジトリ (Repository)</t>
  </si>
  <si>
    <t>コミット (Commit)</t>
  </si>
  <si>
    <t>プッシュ (Push)</t>
  </si>
  <si>
    <t>プル (Pull)</t>
  </si>
  <si>
    <t>ブランチ (Branch)</t>
  </si>
  <si>
    <t>マージ (Merge)</t>
  </si>
  <si>
    <t>ステージング (Staging)</t>
  </si>
  <si>
    <t>クローン (Clone)</t>
  </si>
  <si>
    <t>フォーク (Fork)</t>
  </si>
  <si>
    <t>git branch -m &lt;新しいブランチ名&gt;</t>
  </si>
  <si>
    <t>git log --oneline --graph --decorate --all</t>
  </si>
  <si>
    <t>git status</t>
  </si>
  <si>
    <t>git add .</t>
  </si>
  <si>
    <t>git commit -m "&lt;メッセージ&gt;"</t>
  </si>
  <si>
    <t>git push origin &lt;ブランチ名&gt;</t>
  </si>
  <si>
    <t>git remote -v</t>
  </si>
  <si>
    <t>git remote set-url origin &lt;新しいURL&gt;</t>
  </si>
  <si>
    <t>git clone &lt;リポジトリのURL&gt;</t>
  </si>
  <si>
    <t>git push origin --delete &lt;ブランチ名&gt;</t>
  </si>
  <si>
    <t>コマンド</t>
    <phoneticPr fontId="1"/>
  </si>
  <si>
    <t>Git</t>
    <phoneticPr fontId="1"/>
  </si>
  <si>
    <t>プログラミング言語</t>
    <rPh sb="7" eb="9">
      <t>ゲンゴ</t>
    </rPh>
    <phoneticPr fontId="1"/>
  </si>
  <si>
    <t>Java</t>
    <phoneticPr fontId="1"/>
  </si>
  <si>
    <t>JavaScript</t>
    <phoneticPr fontId="1"/>
  </si>
  <si>
    <t>構文</t>
  </si>
  <si>
    <t>親カテゴリ</t>
    <rPh sb="0" eb="1">
      <t>オヤ</t>
    </rPh>
    <phoneticPr fontId="1"/>
  </si>
  <si>
    <t>子カテゴリ</t>
    <rPh sb="0" eb="1">
      <t>コ</t>
    </rPh>
    <phoneticPr fontId="1"/>
  </si>
  <si>
    <t>孫カテゴリ</t>
    <rPh sb="0" eb="1">
      <t>マゴ</t>
    </rPh>
    <phoneticPr fontId="1"/>
  </si>
  <si>
    <t>データ型</t>
  </si>
  <si>
    <t>標準ライブラリ</t>
  </si>
  <si>
    <t>外部ライブラリ</t>
  </si>
  <si>
    <t>フレームワーク</t>
  </si>
  <si>
    <t>IDE（統合開発環境）</t>
  </si>
  <si>
    <t>テキストエディタ</t>
  </si>
  <si>
    <t>デバッガ</t>
  </si>
  <si>
    <t>オブジェクト指向</t>
  </si>
  <si>
    <t>関数型</t>
  </si>
  <si>
    <t>手続き型</t>
  </si>
  <si>
    <t>SQL接続</t>
  </si>
  <si>
    <t>ORM（オブジェクトリレーショナルマッピング）</t>
  </si>
  <si>
    <t>ユニットテスト</t>
  </si>
  <si>
    <t>統合テスト</t>
  </si>
  <si>
    <t>モック</t>
  </si>
  <si>
    <t>最適化技術</t>
  </si>
  <si>
    <t>メモリ管理</t>
  </si>
  <si>
    <t>スレッド管理</t>
  </si>
  <si>
    <t>例外処理</t>
  </si>
  <si>
    <t>ロギング</t>
  </si>
  <si>
    <t xml:space="preserve"> 離散数学 </t>
  </si>
  <si>
    <t xml:space="preserve"> 応用数学 </t>
  </si>
  <si>
    <t> 情報に関する理論</t>
  </si>
  <si>
    <t> 通信に関する理論</t>
  </si>
  <si>
    <t xml:space="preserve"> 計測・制御に関する理論 </t>
  </si>
  <si>
    <t> データ構造</t>
  </si>
  <si>
    <t xml:space="preserve"> アルゴリズム </t>
  </si>
  <si>
    <t> プログラミング</t>
  </si>
  <si>
    <t> プログラム言語</t>
  </si>
  <si>
    <t xml:space="preserve"> その他の言語 </t>
  </si>
  <si>
    <t xml:space="preserve"> アルゴリズムとプログラミング </t>
  </si>
  <si>
    <t>コンピュータ構成要素</t>
  </si>
  <si>
    <t>プロセッサ</t>
  </si>
  <si>
    <t>メモリ</t>
  </si>
  <si>
    <t>バス</t>
  </si>
  <si>
    <t>入出力デバイス</t>
  </si>
  <si>
    <t>入出力装置</t>
  </si>
  <si>
    <t>システム構成要素</t>
  </si>
  <si>
    <t>システムの構成</t>
  </si>
  <si>
    <t>システムの評価指標</t>
  </si>
  <si>
    <t>ソフトウェア</t>
  </si>
  <si>
    <t>オペレーティングシステム</t>
  </si>
  <si>
    <t>ミドルウェア</t>
  </si>
  <si>
    <t>ファイルシステム</t>
  </si>
  <si>
    <t>開発ツール</t>
  </si>
  <si>
    <t>オープンソースソフトウェア</t>
  </si>
  <si>
    <t>ハードウェア</t>
  </si>
  <si>
    <t>ユーザーインタフェース</t>
  </si>
  <si>
    <t>ユーザーインタフェース技術</t>
  </si>
  <si>
    <t>UX/UI デザイン</t>
  </si>
  <si>
    <t>情報メディア</t>
  </si>
  <si>
    <t>マルチメディア技術</t>
  </si>
  <si>
    <t>マルチメディア応用</t>
  </si>
  <si>
    <t>データベース方式</t>
  </si>
  <si>
    <t>データベース設計</t>
  </si>
  <si>
    <t>データ操作</t>
  </si>
  <si>
    <t>トランザクション処理</t>
  </si>
  <si>
    <t>データベース応用</t>
  </si>
  <si>
    <t>データベース</t>
    <phoneticPr fontId="1"/>
  </si>
  <si>
    <t>SQL</t>
    <phoneticPr fontId="1"/>
  </si>
  <si>
    <t>ネットワーク</t>
  </si>
  <si>
    <t>ネットワーク方式</t>
  </si>
  <si>
    <t>データ通信と制御</t>
  </si>
  <si>
    <t>通信プロトコル</t>
  </si>
  <si>
    <t>ネットワーク管理</t>
  </si>
  <si>
    <t>ネットワーク応用</t>
  </si>
  <si>
    <t>情報セキュリティ</t>
  </si>
  <si>
    <t>情報セキュリティ管理</t>
  </si>
  <si>
    <t>セキュリティ技術評価</t>
  </si>
  <si>
    <t>情報セキュリティ対策</t>
  </si>
  <si>
    <t>セキュリティ実装技術</t>
  </si>
  <si>
    <t>物理セキュリティ</t>
    <rPh sb="0" eb="2">
      <t>ブツリ</t>
    </rPh>
    <phoneticPr fontId="1"/>
  </si>
  <si>
    <t>システム開発技術</t>
  </si>
  <si>
    <t>システム要件定義・ソフトウェア要件定義</t>
  </si>
  <si>
    <t>設計</t>
  </si>
  <si>
    <t>実装・構築</t>
  </si>
  <si>
    <t>統合・テスト</t>
  </si>
  <si>
    <t>導入・受入れ支援</t>
  </si>
  <si>
    <t>保守・廃棄</t>
  </si>
  <si>
    <t>ソフトウェア開発管理技術</t>
  </si>
  <si>
    <t>開発プロセス・手法</t>
  </si>
  <si>
    <t>知的財産適用管理</t>
  </si>
  <si>
    <t>開発環境管理</t>
  </si>
  <si>
    <t>構成管理・変更管理</t>
  </si>
  <si>
    <t>プロジェクトマネジメント</t>
  </si>
  <si>
    <t>プロジェクトの統合</t>
  </si>
  <si>
    <t>プロジェクトのステークホルダ</t>
  </si>
  <si>
    <t>プロジェクトのスコープ</t>
  </si>
  <si>
    <t>プロジェクトの資源</t>
  </si>
  <si>
    <t>プロジェクトの時間</t>
  </si>
  <si>
    <t>プロジェクトのコスト</t>
  </si>
  <si>
    <t>プロジェクトのリスク</t>
  </si>
  <si>
    <t>プロジェクトの品質</t>
  </si>
  <si>
    <t>サービスマネジメント</t>
  </si>
  <si>
    <t>サービスマネジメントシステムの計画及び運用</t>
  </si>
  <si>
    <t>パフォーマンス評価及び改善</t>
  </si>
  <si>
    <t>サービスの運用</t>
  </si>
  <si>
    <t>ファシリティマネジメント</t>
  </si>
  <si>
    <t>システム監査</t>
  </si>
  <si>
    <t>内部統制</t>
  </si>
  <si>
    <t>システム戦略</t>
  </si>
  <si>
    <t>情報システム戦略</t>
  </si>
  <si>
    <t>業務プロセス</t>
  </si>
  <si>
    <t>ソリューションビジネス</t>
  </si>
  <si>
    <t>システム活用促進・評価</t>
  </si>
  <si>
    <t>システム企画</t>
  </si>
  <si>
    <t>システム化計画</t>
  </si>
  <si>
    <t>要件定義</t>
  </si>
  <si>
    <t>調達計画・実施</t>
  </si>
  <si>
    <t>経営戦略手法</t>
  </si>
  <si>
    <t>マーケティング</t>
  </si>
  <si>
    <t>ビジネス戦略と目標・評価</t>
  </si>
  <si>
    <t>経営管理システム</t>
  </si>
  <si>
    <t>経営戦略マネジメント</t>
  </si>
  <si>
    <t>技術戦略マネジメント</t>
  </si>
  <si>
    <t>技術開発戦略の立案</t>
  </si>
  <si>
    <t>技術開発計画</t>
  </si>
  <si>
    <t>ビジネスインダストリ</t>
  </si>
  <si>
    <t>ビジネスシステム</t>
  </si>
  <si>
    <t>エンジニアリングシステム</t>
  </si>
  <si>
    <t>e-ビジネス</t>
  </si>
  <si>
    <t>民生機器</t>
  </si>
  <si>
    <t>産業機器</t>
  </si>
  <si>
    <t>企業と法務</t>
  </si>
  <si>
    <t>経営・組織論</t>
  </si>
  <si>
    <t>業務分析・データ利活用</t>
  </si>
  <si>
    <t>会計・財務</t>
  </si>
  <si>
    <t>PL</t>
  </si>
  <si>
    <t>PL</t>
    <phoneticPr fontId="1"/>
  </si>
  <si>
    <t>JV</t>
    <phoneticPr fontId="1"/>
  </si>
  <si>
    <t>JS</t>
    <phoneticPr fontId="1"/>
  </si>
  <si>
    <t>ID</t>
  </si>
  <si>
    <t>SQ</t>
  </si>
  <si>
    <t>OR</t>
  </si>
  <si>
    <t>DE</t>
  </si>
  <si>
    <t>SY</t>
  </si>
  <si>
    <t>SY</t>
    <phoneticPr fontId="1"/>
  </si>
  <si>
    <t>DT</t>
  </si>
  <si>
    <t>SL</t>
  </si>
  <si>
    <t>EL</t>
  </si>
  <si>
    <t>FW</t>
  </si>
  <si>
    <t>TE</t>
  </si>
  <si>
    <t>DB</t>
  </si>
  <si>
    <t>OO</t>
  </si>
  <si>
    <t>FP</t>
  </si>
  <si>
    <t>PP</t>
  </si>
  <si>
    <t>UT</t>
  </si>
  <si>
    <t>IT</t>
  </si>
  <si>
    <t>MK</t>
  </si>
  <si>
    <t>OP</t>
  </si>
  <si>
    <t>MM</t>
  </si>
  <si>
    <t>TM</t>
  </si>
  <si>
    <t>EX</t>
  </si>
  <si>
    <t>LG</t>
  </si>
  <si>
    <t>ID</t>
    <phoneticPr fontId="1"/>
  </si>
  <si>
    <t>BT</t>
  </si>
  <si>
    <t>CS</t>
  </si>
  <si>
    <t>UI</t>
  </si>
  <si>
    <t>NW</t>
  </si>
  <si>
    <t>IS</t>
  </si>
  <si>
    <t>SD</t>
  </si>
  <si>
    <t>PM</t>
  </si>
  <si>
    <t>SM</t>
  </si>
  <si>
    <t>AU</t>
  </si>
  <si>
    <t>ST</t>
  </si>
  <si>
    <t>SP</t>
  </si>
  <si>
    <t>SM</t>
    <phoneticPr fontId="1"/>
  </si>
  <si>
    <t>プログラミング言語</t>
  </si>
  <si>
    <t>基礎理論</t>
  </si>
  <si>
    <t>コンピュータシステム</t>
  </si>
  <si>
    <t>データベース</t>
  </si>
  <si>
    <t>BI</t>
  </si>
  <si>
    <t>CL</t>
  </si>
  <si>
    <t>基礎理論</t>
    <phoneticPr fontId="1"/>
  </si>
  <si>
    <t>SW</t>
  </si>
  <si>
    <t>SW</t>
    <phoneticPr fontId="1"/>
  </si>
  <si>
    <t>DM</t>
  </si>
  <si>
    <t>AM</t>
  </si>
  <si>
    <t>CT</t>
  </si>
  <si>
    <t>MC</t>
  </si>
  <si>
    <t>AP</t>
  </si>
  <si>
    <t>DS</t>
  </si>
  <si>
    <t>AL</t>
  </si>
  <si>
    <t>PG</t>
  </si>
  <si>
    <t>OL</t>
  </si>
  <si>
    <t>CH</t>
  </si>
  <si>
    <t>PR</t>
  </si>
  <si>
    <t>ME</t>
  </si>
  <si>
    <t>BU</t>
  </si>
  <si>
    <t>IO</t>
  </si>
  <si>
    <t>SC</t>
  </si>
  <si>
    <t>EM</t>
  </si>
  <si>
    <t>OS</t>
  </si>
  <si>
    <t>MW</t>
  </si>
  <si>
    <t>FS</t>
  </si>
  <si>
    <t>HW</t>
  </si>
  <si>
    <t>UX</t>
  </si>
  <si>
    <t>IM</t>
  </si>
  <si>
    <t>MA</t>
  </si>
  <si>
    <t>DO</t>
  </si>
  <si>
    <t>TP</t>
  </si>
  <si>
    <t>DA</t>
  </si>
  <si>
    <t>DC</t>
  </si>
  <si>
    <t>CP</t>
  </si>
  <si>
    <t>NM</t>
  </si>
  <si>
    <t>NA</t>
  </si>
  <si>
    <t>SE</t>
  </si>
  <si>
    <t>SI</t>
  </si>
  <si>
    <t>PS</t>
  </si>
  <si>
    <t>RD</t>
  </si>
  <si>
    <t>AI</t>
  </si>
  <si>
    <t>DP</t>
  </si>
  <si>
    <t>IP</t>
  </si>
  <si>
    <t>CM</t>
  </si>
  <si>
    <t>PI</t>
  </si>
  <si>
    <t>SH</t>
  </si>
  <si>
    <t>RS</t>
  </si>
  <si>
    <t>CO</t>
  </si>
  <si>
    <t>RK</t>
  </si>
  <si>
    <t>QL</t>
  </si>
  <si>
    <t>PE</t>
  </si>
  <si>
    <t>SO</t>
  </si>
  <si>
    <t>FM</t>
  </si>
  <si>
    <t>IC</t>
  </si>
  <si>
    <t>BP</t>
  </si>
  <si>
    <t>SB</t>
  </si>
  <si>
    <t>AE</t>
  </si>
  <si>
    <t>BE</t>
  </si>
  <si>
    <t>MS</t>
  </si>
  <si>
    <t>TS</t>
  </si>
  <si>
    <t>BS</t>
  </si>
  <si>
    <t>ES</t>
  </si>
  <si>
    <t>EB</t>
  </si>
  <si>
    <t>CE</t>
  </si>
  <si>
    <t>IE</t>
  </si>
  <si>
    <t>OM</t>
  </si>
  <si>
    <t>AF</t>
  </si>
  <si>
    <t>SQL</t>
  </si>
  <si>
    <t>離散数学</t>
  </si>
  <si>
    <t>応用数学</t>
  </si>
  <si>
    <t>情報に関する理論</t>
  </si>
  <si>
    <t>通信に関する理論</t>
  </si>
  <si>
    <t>計測・制御に関する理論</t>
  </si>
  <si>
    <t>アルゴリズムとプログラミング</t>
  </si>
  <si>
    <t>データ構造</t>
  </si>
  <si>
    <t>アルゴリズム</t>
  </si>
  <si>
    <t>プログラミング</t>
  </si>
  <si>
    <t>プログラム言語</t>
  </si>
  <si>
    <t>その他の言語</t>
  </si>
  <si>
    <t>物理セキュリティ</t>
  </si>
  <si>
    <t>e-ビジネス</t>
    <phoneticPr fontId="1"/>
  </si>
  <si>
    <t>KS</t>
    <phoneticPr fontId="1"/>
  </si>
  <si>
    <t>TM</t>
    <phoneticPr fontId="1"/>
  </si>
  <si>
    <t>OP</t>
    <phoneticPr fontId="1"/>
  </si>
  <si>
    <t>Git</t>
  </si>
  <si>
    <t>ローカルリポジトリ</t>
  </si>
  <si>
    <t>ローカルリポジトリ</t>
    <phoneticPr fontId="1"/>
  </si>
  <si>
    <t>リモートリポジトリ</t>
  </si>
  <si>
    <t>リモートリポジトリ</t>
    <phoneticPr fontId="1"/>
  </si>
  <si>
    <t>コンピュータシステム</t>
    <phoneticPr fontId="1"/>
  </si>
  <si>
    <t>ビジネスインダストリ</t>
    <phoneticPr fontId="1"/>
  </si>
  <si>
    <t>LR</t>
    <phoneticPr fontId="1"/>
  </si>
  <si>
    <t>RR</t>
    <phoneticPr fontId="1"/>
  </si>
  <si>
    <t>GT</t>
    <phoneticPr fontId="1"/>
  </si>
  <si>
    <t>初期設定</t>
  </si>
  <si>
    <t>ブランチ管理</t>
  </si>
  <si>
    <t>コミット履歴</t>
  </si>
  <si>
    <t>ワークフロー</t>
  </si>
  <si>
    <t>トラブルシューティング</t>
  </si>
  <si>
    <t>ベストプラクティス</t>
  </si>
  <si>
    <t>重複
カテゴリ名</t>
    <rPh sb="0" eb="2">
      <t>チョウフク</t>
    </rPh>
    <rPh sb="7" eb="8">
      <t>メイ</t>
    </rPh>
    <phoneticPr fontId="1"/>
  </si>
  <si>
    <t>単体重複コード数</t>
    <rPh sb="0" eb="2">
      <t>タンタイ</t>
    </rPh>
    <rPh sb="2" eb="4">
      <t>チョウフク</t>
    </rPh>
    <rPh sb="7" eb="8">
      <t>スウ</t>
    </rPh>
    <phoneticPr fontId="1"/>
  </si>
  <si>
    <t>完全コード重複</t>
    <rPh sb="0" eb="2">
      <t>カンゼン</t>
    </rPh>
    <rPh sb="5" eb="7">
      <t>ジュウフク</t>
    </rPh>
    <phoneticPr fontId="1"/>
  </si>
  <si>
    <t>完全コード</t>
    <rPh sb="0" eb="2">
      <t>カンゼン</t>
    </rPh>
    <phoneticPr fontId="1"/>
  </si>
  <si>
    <t>親-子コード</t>
    <rPh sb="0" eb="1">
      <t>オヤ</t>
    </rPh>
    <rPh sb="2" eb="3">
      <t>コ</t>
    </rPh>
    <phoneticPr fontId="1"/>
  </si>
  <si>
    <t>WF</t>
    <phoneticPr fontId="1"/>
  </si>
  <si>
    <t>TS</t>
    <phoneticPr fontId="1"/>
  </si>
  <si>
    <t>BP</t>
    <phoneticPr fontId="1"/>
  </si>
  <si>
    <t>ST</t>
    <phoneticPr fontId="1"/>
  </si>
  <si>
    <t>SS</t>
    <phoneticPr fontId="1"/>
  </si>
  <si>
    <t>BM</t>
    <phoneticPr fontId="1"/>
  </si>
  <si>
    <t>CH</t>
    <phoneticPr fontId="1"/>
  </si>
  <si>
    <t>テクノロジ</t>
    <phoneticPr fontId="1"/>
  </si>
  <si>
    <t>マネジメント</t>
    <phoneticPr fontId="1"/>
  </si>
  <si>
    <t>ストラテジ</t>
    <phoneticPr fontId="1"/>
  </si>
  <si>
    <t>TC</t>
    <phoneticPr fontId="1"/>
  </si>
  <si>
    <t>MN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</si>
</sst>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0.5"/>
      <color theme="1"/>
      <name val="游明朝"/>
      <family val="1"/>
      <charset val="128"/>
    </font>
    <font>
      <b/>
      <sz val="12"/>
      <name val="BIZ UDPゴシック"/>
      <family val="3"/>
      <charset val="128"/>
    </font>
    <font>
      <sz val="12"/>
      <name val="BIZ UDPゴシック"/>
      <family val="3"/>
      <charset val="128"/>
    </font>
    <font>
      <sz val="11"/>
      <color rgb="FF000000"/>
      <name val="游ゴシック"/>
      <family val="3"/>
      <charset val="128"/>
    </font>
    <font>
      <sz val="10"/>
      <color rgb="FF1A1918"/>
      <name val="Segoe UI"/>
      <family val="2"/>
    </font>
    <font>
      <b/>
      <sz val="11"/>
      <color theme="1"/>
      <name val="游ゴシック"/>
      <family val="3"/>
      <charset val="128"/>
      <scheme val="minor"/>
    </font>
    <font>
      <u/>
      <sz val="11"/>
      <color theme="10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0" fontId="8" fillId="0" borderId="0" applyNumberFormat="0" applyFill="0" applyBorder="0" applyAlignment="0" applyProtection="0">
      <alignment vertical="center"/>
    </xf>
  </cellStyleXfs>
  <cellXfs count="28">
    <xf numFmtId="0" fontId="0" fillId="0" borderId="0" xfId="0">
      <alignment vertical="center"/>
    </xf>
    <xf numFmtId="0" fontId="2" fillId="0" borderId="0" xfId="0" applyFont="1" applyAlignment="1">
      <alignment horizontal="justify" vertical="center"/>
    </xf>
    <xf numFmtId="14" fontId="0" fillId="0" borderId="0" xfId="0" applyNumberForma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6" fillId="0" borderId="0" xfId="0" applyFont="1" applyAlignment="1">
      <alignment horizontal="left" vertical="center" wrapText="1" indent="1"/>
    </xf>
    <xf numFmtId="0" fontId="3" fillId="0" borderId="1" xfId="0" applyFont="1" applyBorder="1" applyAlignment="1">
      <alignment horizontal="center" vertical="center"/>
    </xf>
    <xf numFmtId="0" fontId="3" fillId="0" borderId="1" xfId="0" applyFont="1" applyBorder="1">
      <alignment vertical="center"/>
    </xf>
    <xf numFmtId="0" fontId="3" fillId="0" borderId="2" xfId="0" applyFont="1" applyBorder="1">
      <alignment vertical="center"/>
    </xf>
    <xf numFmtId="0" fontId="3" fillId="0" borderId="3" xfId="0" applyFont="1" applyBorder="1" applyAlignment="1">
      <alignment horizontal="centerContinuous" vertical="center"/>
    </xf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8" fillId="0" borderId="0" xfId="1">
      <alignment vertical="center"/>
    </xf>
    <xf numFmtId="0" fontId="0" fillId="0" borderId="1" xfId="0" applyBorder="1">
      <alignment vertical="center"/>
    </xf>
    <xf numFmtId="0" fontId="7" fillId="0" borderId="4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Continuous" vertical="center"/>
    </xf>
    <xf numFmtId="0" fontId="3" fillId="0" borderId="5" xfId="0" applyFont="1" applyBorder="1" applyAlignment="1">
      <alignment horizontal="centerContinuous" vertical="center"/>
    </xf>
    <xf numFmtId="0" fontId="0" fillId="0" borderId="6" xfId="0" applyBorder="1" applyAlignment="1">
      <alignment horizontal="centerContinuous" vertical="center"/>
    </xf>
    <xf numFmtId="0" fontId="0" fillId="0" borderId="7" xfId="0" applyBorder="1" applyAlignment="1">
      <alignment horizontal="centerContinuous" vertical="center"/>
    </xf>
    <xf numFmtId="0" fontId="7" fillId="0" borderId="4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7" fillId="0" borderId="4" xfId="0" applyFont="1" applyBorder="1" applyAlignment="1">
      <alignment horizontal="centerContinuous" vertical="center"/>
    </xf>
    <xf numFmtId="0" fontId="0" fillId="0" borderId="2" xfId="0" applyBorder="1" applyAlignment="1">
      <alignment horizontal="center" vertical="center"/>
    </xf>
    <xf numFmtId="0" fontId="3" fillId="0" borderId="4" xfId="0" applyFont="1" applyBorder="1" applyAlignment="1">
      <alignment horizontal="centerContinuous" vertical="center"/>
    </xf>
  </cellXfs>
  <cellStyles count="2">
    <cellStyle name="ハイパーリンク" xfId="1" builtinId="8"/>
    <cellStyle name="標準" xfId="0" builtinId="0"/>
  </cellStyles>
  <dxfs count="3"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777240</xdr:colOff>
          <xdr:row>0</xdr:row>
          <xdr:rowOff>15240</xdr:rowOff>
        </xdr:from>
        <xdr:to>
          <xdr:col>2</xdr:col>
          <xdr:colOff>1965960</xdr:colOff>
          <xdr:row>0</xdr:row>
          <xdr:rowOff>327660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グループ化1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777240</xdr:colOff>
          <xdr:row>0</xdr:row>
          <xdr:rowOff>457200</xdr:rowOff>
        </xdr:from>
        <xdr:to>
          <xdr:col>2</xdr:col>
          <xdr:colOff>1981200</xdr:colOff>
          <xdr:row>0</xdr:row>
          <xdr:rowOff>739140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731520</xdr:colOff>
          <xdr:row>0</xdr:row>
          <xdr:rowOff>137160</xdr:rowOff>
        </xdr:from>
        <xdr:to>
          <xdr:col>3</xdr:col>
          <xdr:colOff>1661160</xdr:colOff>
          <xdr:row>0</xdr:row>
          <xdr:rowOff>647700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リンク作成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E3D654-966B-48D5-BF3C-D691EAC9C0A7}">
  <sheetPr codeName="Sheet1"/>
  <dimension ref="A1:J20"/>
  <sheetViews>
    <sheetView workbookViewId="0">
      <selection activeCell="A2" sqref="A2"/>
    </sheetView>
  </sheetViews>
  <sheetFormatPr defaultRowHeight="18" x14ac:dyDescent="0.45"/>
  <cols>
    <col min="1" max="1" width="35.5" bestFit="1" customWidth="1"/>
    <col min="2" max="2" width="81.59765625" bestFit="1" customWidth="1"/>
    <col min="3" max="5" width="11" bestFit="1" customWidth="1"/>
    <col min="6" max="7" width="7.09765625" bestFit="1" customWidth="1"/>
    <col min="8" max="8" width="9.19921875" bestFit="1" customWidth="1"/>
    <col min="9" max="9" width="7.09765625" bestFit="1" customWidth="1"/>
    <col min="10" max="10" width="9" bestFit="1" customWidth="1"/>
  </cols>
  <sheetData>
    <row r="1" spans="1:10" x14ac:dyDescent="0.45">
      <c r="A1" s="11" t="s">
        <v>0</v>
      </c>
      <c r="B1" s="11" t="s">
        <v>1</v>
      </c>
      <c r="C1" s="11" t="s">
        <v>52</v>
      </c>
      <c r="D1" s="11" t="s">
        <v>53</v>
      </c>
      <c r="E1" s="11" t="s">
        <v>54</v>
      </c>
      <c r="F1" s="11" t="s">
        <v>2</v>
      </c>
      <c r="G1" s="11" t="s">
        <v>3</v>
      </c>
      <c r="H1" s="11" t="s">
        <v>4</v>
      </c>
      <c r="I1" s="11" t="s">
        <v>5</v>
      </c>
      <c r="J1" s="11" t="s">
        <v>6</v>
      </c>
    </row>
    <row r="2" spans="1:10" x14ac:dyDescent="0.45">
      <c r="A2" s="1" t="s">
        <v>27</v>
      </c>
      <c r="B2" t="s">
        <v>8</v>
      </c>
      <c r="C2" t="s">
        <v>47</v>
      </c>
      <c r="H2" s="2"/>
    </row>
    <row r="3" spans="1:10" x14ac:dyDescent="0.45">
      <c r="A3" s="1" t="s">
        <v>28</v>
      </c>
      <c r="B3" t="s">
        <v>9</v>
      </c>
      <c r="C3" t="s">
        <v>47</v>
      </c>
      <c r="H3" s="2"/>
    </row>
    <row r="4" spans="1:10" x14ac:dyDescent="0.45">
      <c r="A4" s="1" t="s">
        <v>29</v>
      </c>
      <c r="B4" t="s">
        <v>10</v>
      </c>
      <c r="C4" t="s">
        <v>47</v>
      </c>
      <c r="H4" s="2"/>
    </row>
    <row r="5" spans="1:10" x14ac:dyDescent="0.45">
      <c r="A5" s="1" t="s">
        <v>30</v>
      </c>
      <c r="B5" t="s">
        <v>11</v>
      </c>
      <c r="C5" t="s">
        <v>47</v>
      </c>
      <c r="H5" s="2"/>
    </row>
    <row r="6" spans="1:10" x14ac:dyDescent="0.45">
      <c r="A6" s="1" t="s">
        <v>31</v>
      </c>
      <c r="B6" t="s">
        <v>12</v>
      </c>
      <c r="C6" t="s">
        <v>47</v>
      </c>
      <c r="H6" s="2"/>
    </row>
    <row r="7" spans="1:10" x14ac:dyDescent="0.45">
      <c r="A7" s="1" t="s">
        <v>32</v>
      </c>
      <c r="B7" t="s">
        <v>13</v>
      </c>
      <c r="C7" t="s">
        <v>47</v>
      </c>
      <c r="H7" s="2"/>
    </row>
    <row r="8" spans="1:10" x14ac:dyDescent="0.45">
      <c r="A8" s="1" t="s">
        <v>33</v>
      </c>
      <c r="B8" t="s">
        <v>14</v>
      </c>
      <c r="C8" t="s">
        <v>47</v>
      </c>
      <c r="H8" s="2"/>
    </row>
    <row r="9" spans="1:10" x14ac:dyDescent="0.45">
      <c r="A9" s="1" t="s">
        <v>34</v>
      </c>
      <c r="B9" t="s">
        <v>15</v>
      </c>
      <c r="C9" t="s">
        <v>47</v>
      </c>
      <c r="H9" s="2"/>
    </row>
    <row r="10" spans="1:10" x14ac:dyDescent="0.45">
      <c r="A10" s="1" t="s">
        <v>35</v>
      </c>
      <c r="B10" t="s">
        <v>16</v>
      </c>
      <c r="C10" t="s">
        <v>47</v>
      </c>
      <c r="H10" s="2"/>
    </row>
    <row r="11" spans="1:10" x14ac:dyDescent="0.45">
      <c r="A11" s="1" t="s">
        <v>36</v>
      </c>
      <c r="B11" t="s">
        <v>17</v>
      </c>
      <c r="C11" t="s">
        <v>46</v>
      </c>
      <c r="H11" s="2"/>
    </row>
    <row r="12" spans="1:10" x14ac:dyDescent="0.45">
      <c r="A12" s="1" t="s">
        <v>37</v>
      </c>
      <c r="B12" t="s">
        <v>18</v>
      </c>
      <c r="C12" t="s">
        <v>46</v>
      </c>
      <c r="H12" s="2"/>
    </row>
    <row r="13" spans="1:10" x14ac:dyDescent="0.45">
      <c r="A13" s="1" t="s">
        <v>38</v>
      </c>
      <c r="B13" t="s">
        <v>19</v>
      </c>
      <c r="C13" t="s">
        <v>46</v>
      </c>
      <c r="H13" s="2"/>
    </row>
    <row r="14" spans="1:10" x14ac:dyDescent="0.45">
      <c r="A14" s="1" t="s">
        <v>39</v>
      </c>
      <c r="B14" t="s">
        <v>20</v>
      </c>
      <c r="C14" t="s">
        <v>46</v>
      </c>
      <c r="H14" s="2"/>
    </row>
    <row r="15" spans="1:10" x14ac:dyDescent="0.45">
      <c r="A15" s="1" t="s">
        <v>40</v>
      </c>
      <c r="B15" t="s">
        <v>21</v>
      </c>
      <c r="C15" t="s">
        <v>46</v>
      </c>
      <c r="H15" s="2"/>
    </row>
    <row r="16" spans="1:10" x14ac:dyDescent="0.45">
      <c r="A16" s="1" t="s">
        <v>41</v>
      </c>
      <c r="B16" t="s">
        <v>22</v>
      </c>
      <c r="C16" t="s">
        <v>46</v>
      </c>
      <c r="H16" s="2"/>
    </row>
    <row r="17" spans="1:8" x14ac:dyDescent="0.45">
      <c r="A17" s="1" t="s">
        <v>42</v>
      </c>
      <c r="B17" t="s">
        <v>23</v>
      </c>
      <c r="C17" t="s">
        <v>46</v>
      </c>
      <c r="H17" s="2"/>
    </row>
    <row r="18" spans="1:8" x14ac:dyDescent="0.45">
      <c r="A18" s="1" t="s">
        <v>43</v>
      </c>
      <c r="B18" t="s">
        <v>24</v>
      </c>
      <c r="C18" t="s">
        <v>46</v>
      </c>
      <c r="H18" s="2"/>
    </row>
    <row r="19" spans="1:8" x14ac:dyDescent="0.45">
      <c r="A19" s="1" t="s">
        <v>44</v>
      </c>
      <c r="B19" t="s">
        <v>25</v>
      </c>
      <c r="C19" t="s">
        <v>46</v>
      </c>
      <c r="H19" s="2"/>
    </row>
    <row r="20" spans="1:8" x14ac:dyDescent="0.45">
      <c r="A20" s="1" t="s">
        <v>45</v>
      </c>
      <c r="B20" t="s">
        <v>26</v>
      </c>
      <c r="C20" t="s">
        <v>46</v>
      </c>
      <c r="H20" s="2"/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263F61-FD0B-4EAB-ABCE-B761CCAD0CAF}">
  <sheetPr codeName="Sheet3"/>
  <dimension ref="C1:BT47"/>
  <sheetViews>
    <sheetView topLeftCell="C1" zoomScale="85" zoomScaleNormal="85" workbookViewId="0">
      <pane xSplit="2" ySplit="1" topLeftCell="AP4" activePane="bottomRight" state="frozen"/>
      <selection activeCell="C1" sqref="C1"/>
      <selection pane="topRight" activeCell="E1" sqref="E1"/>
      <selection pane="bottomLeft" activeCell="C2" sqref="C2"/>
      <selection pane="bottomRight" activeCell="BH5" sqref="BH5"/>
    </sheetView>
  </sheetViews>
  <sheetFormatPr defaultRowHeight="13.8" outlineLevelCol="1" x14ac:dyDescent="0.45"/>
  <cols>
    <col min="1" max="2" width="8.796875" style="4"/>
    <col min="3" max="3" width="26" style="4" bestFit="1" customWidth="1"/>
    <col min="4" max="4" width="24.5" style="4" bestFit="1" customWidth="1"/>
    <col min="5" max="5" width="0.8984375" style="4" customWidth="1"/>
    <col min="6" max="6" width="21.09765625" style="3" bestFit="1" customWidth="1"/>
    <col min="7" max="7" width="14.3984375" style="3" hidden="1" customWidth="1" outlineLevel="1"/>
    <col min="8" max="8" width="47.3984375" style="3" hidden="1" customWidth="1" outlineLevel="1"/>
    <col min="9" max="9" width="11.69921875" style="4" bestFit="1" customWidth="1" collapsed="1"/>
    <col min="10" max="10" width="33.3984375" style="4" hidden="1" customWidth="1" outlineLevel="1"/>
    <col min="11" max="11" width="11.69921875" style="4" hidden="1" customWidth="1" outlineLevel="1"/>
    <col min="12" max="12" width="22.5" style="4" bestFit="1" customWidth="1" collapsed="1"/>
    <col min="13" max="13" width="28.5" style="4" hidden="1" customWidth="1" outlineLevel="1"/>
    <col min="14" max="14" width="11.69921875" style="4" hidden="1" customWidth="1" outlineLevel="1"/>
    <col min="15" max="15" width="24.3984375" style="4" bestFit="1" customWidth="1" collapsed="1"/>
    <col min="16" max="16" width="29.09765625" style="4" hidden="1" customWidth="1" outlineLevel="1"/>
    <col min="17" max="17" width="11.69921875" style="4" hidden="1" customWidth="1" outlineLevel="1"/>
    <col min="18" max="18" width="14" style="4" bestFit="1" customWidth="1" collapsed="1"/>
    <col min="19" max="19" width="22.09765625" style="4" hidden="1" customWidth="1" outlineLevel="1"/>
    <col min="20" max="20" width="11.69921875" style="4" hidden="1" customWidth="1" outlineLevel="1"/>
    <col min="21" max="21" width="13.19921875" style="4" bestFit="1" customWidth="1" collapsed="1"/>
    <col min="22" max="22" width="19" style="4" hidden="1" customWidth="1" outlineLevel="1"/>
    <col min="23" max="23" width="11.69921875" style="4" hidden="1" customWidth="1" outlineLevel="1"/>
    <col min="24" max="24" width="18.19921875" style="4" bestFit="1" customWidth="1" collapsed="1"/>
    <col min="25" max="25" width="22.69921875" style="4" hidden="1" customWidth="1" outlineLevel="1"/>
    <col min="26" max="26" width="11.69921875" style="4" hidden="1" customWidth="1" outlineLevel="1"/>
    <col min="27" max="27" width="18.69921875" style="4" bestFit="1" customWidth="1" collapsed="1"/>
    <col min="28" max="28" width="41.59765625" style="4" hidden="1" customWidth="1" outlineLevel="1"/>
    <col min="29" max="29" width="11.69921875" style="4" hidden="1" customWidth="1" outlineLevel="1"/>
    <col min="30" max="30" width="27.09765625" style="4" bestFit="1" customWidth="1" collapsed="1"/>
    <col min="31" max="31" width="20.59765625" style="4" hidden="1" customWidth="1" outlineLevel="1"/>
    <col min="32" max="32" width="11.69921875" style="4" hidden="1" customWidth="1" outlineLevel="1"/>
    <col min="33" max="33" width="25.8984375" style="4" bestFit="1" customWidth="1" collapsed="1"/>
    <col min="34" max="34" width="31" style="4" hidden="1" customWidth="1" outlineLevel="1"/>
    <col min="35" max="35" width="11.69921875" style="4" hidden="1" customWidth="1" outlineLevel="1"/>
    <col min="36" max="36" width="22.5" style="4" bestFit="1" customWidth="1" collapsed="1"/>
    <col min="37" max="37" width="47.3984375" style="4" hidden="1" customWidth="1" outlineLevel="1"/>
    <col min="38" max="38" width="11.69921875" style="4" hidden="1" customWidth="1" outlineLevel="1"/>
    <col min="39" max="39" width="14.19921875" style="4" bestFit="1" customWidth="1" collapsed="1"/>
    <col min="40" max="41" width="11.69921875" style="4" hidden="1" customWidth="1" outlineLevel="1"/>
    <col min="42" max="42" width="14.19921875" style="4" bestFit="1" customWidth="1" collapsed="1"/>
    <col min="43" max="43" width="24.5" style="4" hidden="1" customWidth="1" outlineLevel="1"/>
    <col min="44" max="44" width="11.69921875" style="4" hidden="1" customWidth="1" outlineLevel="1"/>
    <col min="45" max="45" width="14.19921875" style="4" bestFit="1" customWidth="1" collapsed="1"/>
    <col min="46" max="46" width="16.5" style="4" hidden="1" customWidth="1" outlineLevel="1"/>
    <col min="47" max="47" width="11.69921875" style="4" hidden="1" customWidth="1" outlineLevel="1"/>
    <col min="48" max="48" width="22.69921875" style="4" bestFit="1" customWidth="1" collapsed="1"/>
    <col min="49" max="49" width="26.8984375" style="4" hidden="1" customWidth="1" outlineLevel="1"/>
    <col min="50" max="50" width="11.69921875" style="4" hidden="1" customWidth="1" outlineLevel="1"/>
    <col min="51" max="51" width="22.69921875" style="4" bestFit="1" customWidth="1" collapsed="1"/>
    <col min="52" max="52" width="21.69921875" style="4" hidden="1" customWidth="1" outlineLevel="1"/>
    <col min="53" max="53" width="11.69921875" style="4" hidden="1" customWidth="1" outlineLevel="1"/>
    <col min="54" max="54" width="21.8984375" style="4" bestFit="1" customWidth="1" collapsed="1"/>
    <col min="55" max="55" width="26.69921875" style="4" hidden="1" customWidth="1" outlineLevel="1"/>
    <col min="56" max="56" width="11.69921875" style="4" hidden="1" customWidth="1" outlineLevel="1"/>
    <col min="57" max="57" width="12.3984375" style="4" bestFit="1" customWidth="1" collapsed="1"/>
    <col min="58" max="58" width="25" style="4" hidden="1" customWidth="1" outlineLevel="1"/>
    <col min="59" max="59" width="11.69921875" style="4" hidden="1" customWidth="1" outlineLevel="1"/>
    <col min="60" max="60" width="11.69921875" style="4" bestFit="1" customWidth="1" collapsed="1"/>
    <col min="61" max="61" width="20" style="4" customWidth="1" outlineLevel="1"/>
    <col min="62" max="62" width="11.69921875" style="4" customWidth="1" outlineLevel="1"/>
    <col min="63" max="63" width="11.69921875" style="4" bestFit="1" customWidth="1"/>
    <col min="64" max="65" width="11.69921875" style="4" hidden="1" customWidth="1" outlineLevel="1"/>
    <col min="66" max="66" width="11.69921875" style="4" bestFit="1" customWidth="1" collapsed="1"/>
    <col min="67" max="68" width="11.69921875" style="4" hidden="1" customWidth="1" outlineLevel="1"/>
    <col min="69" max="69" width="11.69921875" style="4" bestFit="1" customWidth="1" collapsed="1"/>
    <col min="70" max="71" width="11.69921875" style="4" hidden="1" customWidth="1" outlineLevel="1"/>
    <col min="72" max="72" width="8.796875" style="4" collapsed="1"/>
    <col min="73" max="16384" width="8.796875" style="4"/>
  </cols>
  <sheetData>
    <row r="1" spans="3:71" ht="63" customHeight="1" x14ac:dyDescent="0.45">
      <c r="C1" s="12" t="s">
        <v>52</v>
      </c>
      <c r="D1" s="12" t="s">
        <v>3</v>
      </c>
    </row>
    <row r="2" spans="3:71" hidden="1" x14ac:dyDescent="0.45"/>
    <row r="3" spans="3:71" hidden="1" x14ac:dyDescent="0.45">
      <c r="C3" s="13"/>
    </row>
    <row r="4" spans="3:71" s="5" customFormat="1" ht="18" x14ac:dyDescent="0.45">
      <c r="C4" s="13" t="str" cm="1">
        <f t="array" ref="C4:C22">_xlfn.UNIQUE(TRANSPOSE(IF(F4:BZ4="親カテゴリ",F5:BZA5,"")),FALSE,TRUE)</f>
        <v>プログラミング言語</v>
      </c>
      <c r="D4" s="14" t="s">
        <v>222</v>
      </c>
      <c r="F4" s="5" t="s">
        <v>52</v>
      </c>
      <c r="G4" s="5" t="s">
        <v>53</v>
      </c>
      <c r="H4" s="5" t="s">
        <v>54</v>
      </c>
      <c r="I4" s="5" t="s">
        <v>52</v>
      </c>
      <c r="J4" s="5" t="s">
        <v>53</v>
      </c>
      <c r="K4" s="5" t="s">
        <v>54</v>
      </c>
      <c r="L4" s="5" t="s">
        <v>52</v>
      </c>
      <c r="M4" s="5" t="s">
        <v>53</v>
      </c>
      <c r="N4" s="5" t="s">
        <v>54</v>
      </c>
      <c r="O4" s="5" t="s">
        <v>52</v>
      </c>
      <c r="P4" s="5" t="s">
        <v>53</v>
      </c>
      <c r="Q4" s="5" t="s">
        <v>54</v>
      </c>
      <c r="R4" s="5" t="s">
        <v>52</v>
      </c>
      <c r="S4" s="5" t="s">
        <v>53</v>
      </c>
      <c r="T4" s="5" t="s">
        <v>54</v>
      </c>
      <c r="U4" s="5" t="s">
        <v>52</v>
      </c>
      <c r="V4" s="5" t="s">
        <v>53</v>
      </c>
      <c r="W4" s="5" t="s">
        <v>54</v>
      </c>
      <c r="X4" s="5" t="s">
        <v>52</v>
      </c>
      <c r="Y4" s="5" t="s">
        <v>53</v>
      </c>
      <c r="Z4" s="5" t="s">
        <v>54</v>
      </c>
      <c r="AA4" s="5" t="s">
        <v>52</v>
      </c>
      <c r="AB4" s="5" t="s">
        <v>53</v>
      </c>
      <c r="AC4" s="5" t="s">
        <v>54</v>
      </c>
      <c r="AD4" s="5" t="s">
        <v>52</v>
      </c>
      <c r="AE4" s="5" t="s">
        <v>53</v>
      </c>
      <c r="AF4" s="5" t="s">
        <v>54</v>
      </c>
      <c r="AG4" s="5" t="s">
        <v>52</v>
      </c>
      <c r="AH4" s="5" t="s">
        <v>53</v>
      </c>
      <c r="AI4" s="5" t="s">
        <v>54</v>
      </c>
      <c r="AJ4" s="5" t="s">
        <v>52</v>
      </c>
      <c r="AK4" s="5" t="s">
        <v>53</v>
      </c>
      <c r="AL4" s="5" t="s">
        <v>54</v>
      </c>
      <c r="AM4" s="5" t="s">
        <v>52</v>
      </c>
      <c r="AN4" s="5" t="s">
        <v>53</v>
      </c>
      <c r="AO4" s="5" t="s">
        <v>54</v>
      </c>
      <c r="AP4" s="5" t="s">
        <v>52</v>
      </c>
      <c r="AQ4" s="5" t="s">
        <v>53</v>
      </c>
      <c r="AR4" s="5" t="s">
        <v>54</v>
      </c>
      <c r="AS4" s="5" t="s">
        <v>52</v>
      </c>
      <c r="AT4" s="5" t="s">
        <v>53</v>
      </c>
      <c r="AU4" s="5" t="s">
        <v>54</v>
      </c>
      <c r="AV4" s="5" t="s">
        <v>52</v>
      </c>
      <c r="AW4" s="5" t="s">
        <v>53</v>
      </c>
      <c r="AX4" s="5" t="s">
        <v>54</v>
      </c>
      <c r="AY4" s="5" t="s">
        <v>52</v>
      </c>
      <c r="AZ4" s="5" t="s">
        <v>53</v>
      </c>
      <c r="BA4" s="5" t="s">
        <v>54</v>
      </c>
      <c r="BB4" s="5" t="s">
        <v>52</v>
      </c>
      <c r="BC4" s="5" t="s">
        <v>53</v>
      </c>
      <c r="BD4" s="5" t="s">
        <v>54</v>
      </c>
      <c r="BE4" s="5" t="s">
        <v>52</v>
      </c>
      <c r="BF4" s="5" t="s">
        <v>53</v>
      </c>
      <c r="BG4" s="5" t="s">
        <v>54</v>
      </c>
      <c r="BH4" s="5" t="s">
        <v>52</v>
      </c>
      <c r="BI4" s="5" t="s">
        <v>53</v>
      </c>
      <c r="BJ4" s="5" t="s">
        <v>54</v>
      </c>
      <c r="BK4" s="5" t="s">
        <v>52</v>
      </c>
      <c r="BL4" s="5" t="s">
        <v>53</v>
      </c>
      <c r="BM4" s="5" t="s">
        <v>54</v>
      </c>
      <c r="BN4" s="5" t="s">
        <v>52</v>
      </c>
      <c r="BO4" s="5" t="s">
        <v>53</v>
      </c>
      <c r="BP4" s="5" t="s">
        <v>54</v>
      </c>
      <c r="BQ4" s="5" t="s">
        <v>52</v>
      </c>
      <c r="BR4" s="5" t="s">
        <v>53</v>
      </c>
      <c r="BS4" s="5" t="s">
        <v>54</v>
      </c>
    </row>
    <row r="5" spans="3:71" s="3" customFormat="1" ht="18" x14ac:dyDescent="0.45">
      <c r="C5" s="12" t="str">
        <v>基礎理論</v>
      </c>
      <c r="D5" s="14" t="s">
        <v>223</v>
      </c>
      <c r="F5" s="3" t="s">
        <v>48</v>
      </c>
      <c r="G5" s="3" t="s">
        <v>49</v>
      </c>
      <c r="H5" s="3" t="s">
        <v>51</v>
      </c>
      <c r="I5" s="3" t="s">
        <v>228</v>
      </c>
      <c r="J5" s="3" t="s">
        <v>75</v>
      </c>
      <c r="L5" s="3" t="s">
        <v>314</v>
      </c>
      <c r="M5" s="3" t="s">
        <v>86</v>
      </c>
      <c r="O5" s="3" t="s">
        <v>102</v>
      </c>
      <c r="P5" s="3" t="s">
        <v>103</v>
      </c>
      <c r="R5" s="3" t="s">
        <v>113</v>
      </c>
      <c r="S5" s="3" t="s">
        <v>108</v>
      </c>
      <c r="U5" s="3" t="s">
        <v>115</v>
      </c>
      <c r="V5" s="3" t="s">
        <v>116</v>
      </c>
      <c r="X5" s="3" t="s">
        <v>121</v>
      </c>
      <c r="Y5" s="3" t="s">
        <v>122</v>
      </c>
      <c r="AA5" s="3" t="s">
        <v>127</v>
      </c>
      <c r="AB5" s="3" t="s">
        <v>128</v>
      </c>
      <c r="AD5" s="3" t="s">
        <v>134</v>
      </c>
      <c r="AE5" s="3" t="s">
        <v>135</v>
      </c>
      <c r="AG5" s="3" t="s">
        <v>139</v>
      </c>
      <c r="AH5" s="3" t="s">
        <v>139</v>
      </c>
      <c r="AJ5" s="3" t="s">
        <v>148</v>
      </c>
      <c r="AK5" s="3" t="s">
        <v>148</v>
      </c>
      <c r="AM5" s="3" t="s">
        <v>153</v>
      </c>
      <c r="AN5" s="3" t="s">
        <v>154</v>
      </c>
      <c r="AP5" s="3" t="s">
        <v>155</v>
      </c>
      <c r="AQ5" s="3" t="s">
        <v>156</v>
      </c>
      <c r="AS5" s="3" t="s">
        <v>160</v>
      </c>
      <c r="AT5" s="3" t="s">
        <v>161</v>
      </c>
      <c r="AV5" s="3" t="s">
        <v>168</v>
      </c>
      <c r="AW5" s="3" t="s">
        <v>164</v>
      </c>
      <c r="AY5" s="3" t="s">
        <v>169</v>
      </c>
      <c r="AZ5" s="3" t="s">
        <v>170</v>
      </c>
      <c r="BB5" s="3" t="s">
        <v>315</v>
      </c>
      <c r="BC5" s="3" t="s">
        <v>173</v>
      </c>
      <c r="BE5" s="3" t="s">
        <v>178</v>
      </c>
      <c r="BF5" s="3" t="s">
        <v>179</v>
      </c>
      <c r="BH5" s="3" t="s">
        <v>309</v>
      </c>
      <c r="BI5" s="3" t="s">
        <v>310</v>
      </c>
    </row>
    <row r="6" spans="3:71" s="3" customFormat="1" ht="18" x14ac:dyDescent="0.45">
      <c r="C6" s="12" t="str">
        <v>コンピュータシステム</v>
      </c>
      <c r="D6" s="14" t="s">
        <v>224</v>
      </c>
      <c r="G6" s="3" t="s">
        <v>50</v>
      </c>
      <c r="H6" s="3" t="s">
        <v>55</v>
      </c>
      <c r="J6" s="3" t="s">
        <v>76</v>
      </c>
      <c r="M6" s="3" t="s">
        <v>87</v>
      </c>
      <c r="P6" s="3" t="s">
        <v>104</v>
      </c>
      <c r="S6" s="3" t="s">
        <v>109</v>
      </c>
      <c r="V6" s="3" t="s">
        <v>117</v>
      </c>
      <c r="Y6" s="3" t="s">
        <v>123</v>
      </c>
      <c r="AB6" s="3" t="s">
        <v>129</v>
      </c>
      <c r="AE6" s="3" t="s">
        <v>136</v>
      </c>
      <c r="AH6" s="3" t="s">
        <v>140</v>
      </c>
      <c r="AK6" s="3" t="s">
        <v>149</v>
      </c>
      <c r="AQ6" s="3" t="s">
        <v>157</v>
      </c>
      <c r="AT6" s="3" t="s">
        <v>162</v>
      </c>
      <c r="AW6" s="3" t="s">
        <v>165</v>
      </c>
      <c r="AZ6" s="3" t="s">
        <v>171</v>
      </c>
      <c r="BC6" s="3" t="s">
        <v>174</v>
      </c>
      <c r="BF6" s="3" t="s">
        <v>180</v>
      </c>
      <c r="BI6" s="3" t="s">
        <v>312</v>
      </c>
    </row>
    <row r="7" spans="3:71" s="3" customFormat="1" ht="18" x14ac:dyDescent="0.45">
      <c r="C7" s="12" t="str">
        <v>ユーザーインタフェース</v>
      </c>
      <c r="D7" s="14" t="s">
        <v>102</v>
      </c>
      <c r="F7" s="5"/>
      <c r="H7" s="3" t="s">
        <v>56</v>
      </c>
      <c r="I7" s="5"/>
      <c r="J7" s="3" t="s">
        <v>77</v>
      </c>
      <c r="K7" s="5"/>
      <c r="L7" s="5"/>
      <c r="M7" s="3" t="s">
        <v>88</v>
      </c>
      <c r="O7" s="5"/>
      <c r="P7" s="3" t="s">
        <v>105</v>
      </c>
      <c r="R7" s="5"/>
      <c r="S7" s="3" t="s">
        <v>110</v>
      </c>
      <c r="U7" s="5"/>
      <c r="V7" s="3" t="s">
        <v>118</v>
      </c>
      <c r="X7" s="5"/>
      <c r="Y7" s="3" t="s">
        <v>124</v>
      </c>
      <c r="Z7" s="5"/>
      <c r="AA7" s="5"/>
      <c r="AB7" s="3" t="s">
        <v>130</v>
      </c>
      <c r="AD7" s="5"/>
      <c r="AE7" s="3" t="s">
        <v>137</v>
      </c>
      <c r="AG7" s="5"/>
      <c r="AH7" s="3" t="s">
        <v>141</v>
      </c>
      <c r="AJ7" s="5"/>
      <c r="AK7" s="3" t="s">
        <v>150</v>
      </c>
      <c r="AM7" s="5"/>
      <c r="AP7" s="5"/>
      <c r="AQ7" s="3" t="s">
        <v>158</v>
      </c>
      <c r="AS7" s="5"/>
      <c r="AT7" s="3" t="s">
        <v>163</v>
      </c>
      <c r="AV7" s="5"/>
      <c r="AW7" s="3" t="s">
        <v>166</v>
      </c>
      <c r="AY7" s="5"/>
      <c r="BB7" s="5"/>
      <c r="BC7" s="3" t="s">
        <v>175</v>
      </c>
      <c r="BE7" s="5"/>
      <c r="BF7" s="3" t="s">
        <v>181</v>
      </c>
    </row>
    <row r="8" spans="3:71" s="3" customFormat="1" ht="18" x14ac:dyDescent="0.45">
      <c r="C8" s="12" t="str">
        <v>データベース</v>
      </c>
      <c r="D8" s="14" t="s">
        <v>225</v>
      </c>
      <c r="H8" s="3" t="s">
        <v>57</v>
      </c>
      <c r="J8" s="3" t="s">
        <v>78</v>
      </c>
      <c r="M8" s="3" t="s">
        <v>89</v>
      </c>
      <c r="P8" s="3" t="s">
        <v>106</v>
      </c>
      <c r="S8" s="3" t="s">
        <v>111</v>
      </c>
      <c r="V8" s="3" t="s">
        <v>119</v>
      </c>
      <c r="Y8" s="3" t="s">
        <v>125</v>
      </c>
      <c r="AB8" s="3" t="s">
        <v>131</v>
      </c>
      <c r="AE8" s="3" t="s">
        <v>138</v>
      </c>
      <c r="AH8" s="3" t="s">
        <v>142</v>
      </c>
      <c r="AK8" s="3" t="s">
        <v>151</v>
      </c>
      <c r="AQ8" s="3" t="s">
        <v>159</v>
      </c>
      <c r="AW8" s="3" t="s">
        <v>167</v>
      </c>
      <c r="BC8" s="3" t="s">
        <v>176</v>
      </c>
    </row>
    <row r="9" spans="3:71" s="3" customFormat="1" ht="18" x14ac:dyDescent="0.45">
      <c r="C9" s="12" t="str">
        <v>ネットワーク</v>
      </c>
      <c r="D9" s="14" t="s">
        <v>115</v>
      </c>
      <c r="H9" s="3" t="s">
        <v>58</v>
      </c>
      <c r="J9" s="3" t="s">
        <v>79</v>
      </c>
      <c r="M9" s="3" t="s">
        <v>90</v>
      </c>
      <c r="P9" s="3" t="s">
        <v>107</v>
      </c>
      <c r="S9" s="3" t="s">
        <v>112</v>
      </c>
      <c r="V9" s="3" t="s">
        <v>120</v>
      </c>
      <c r="Y9" s="3" t="s">
        <v>126</v>
      </c>
      <c r="AB9" s="3" t="s">
        <v>132</v>
      </c>
      <c r="AH9" s="3" t="s">
        <v>143</v>
      </c>
      <c r="AK9" s="3" t="s">
        <v>152</v>
      </c>
      <c r="BC9" s="3" t="s">
        <v>177</v>
      </c>
    </row>
    <row r="10" spans="3:71" s="3" customFormat="1" ht="18" x14ac:dyDescent="0.45">
      <c r="C10" s="12" t="str">
        <v>情報セキュリティ</v>
      </c>
      <c r="D10" s="14" t="s">
        <v>121</v>
      </c>
      <c r="H10" s="3" t="s">
        <v>59</v>
      </c>
      <c r="J10" s="3" t="s">
        <v>85</v>
      </c>
      <c r="M10" s="3" t="s">
        <v>91</v>
      </c>
      <c r="S10" s="3" t="s">
        <v>114</v>
      </c>
      <c r="AB10" s="3" t="s">
        <v>133</v>
      </c>
      <c r="AH10" s="3" t="s">
        <v>144</v>
      </c>
    </row>
    <row r="11" spans="3:71" s="3" customFormat="1" ht="18" x14ac:dyDescent="0.45">
      <c r="C11" s="12" t="str">
        <v>システム開発技術</v>
      </c>
      <c r="D11" s="14" t="s">
        <v>127</v>
      </c>
      <c r="H11" s="3" t="s">
        <v>60</v>
      </c>
      <c r="J11" s="3" t="s">
        <v>80</v>
      </c>
      <c r="M11" s="3" t="s">
        <v>92</v>
      </c>
      <c r="AH11" s="3" t="s">
        <v>145</v>
      </c>
    </row>
    <row r="12" spans="3:71" s="3" customFormat="1" ht="18" x14ac:dyDescent="0.45">
      <c r="C12" s="12" t="str">
        <v>ソフトウェア開発管理技術</v>
      </c>
      <c r="D12" s="14" t="s">
        <v>134</v>
      </c>
      <c r="H12" s="3" t="s">
        <v>61</v>
      </c>
      <c r="J12" s="3" t="s">
        <v>81</v>
      </c>
      <c r="M12" s="3" t="s">
        <v>93</v>
      </c>
      <c r="AH12" s="3" t="s">
        <v>146</v>
      </c>
    </row>
    <row r="13" spans="3:71" s="3" customFormat="1" ht="18" x14ac:dyDescent="0.45">
      <c r="C13" s="12" t="str">
        <v>プロジェクトマネジメント</v>
      </c>
      <c r="D13" s="14" t="s">
        <v>139</v>
      </c>
      <c r="H13" s="3" t="s">
        <v>62</v>
      </c>
      <c r="J13" s="3" t="s">
        <v>82</v>
      </c>
      <c r="M13" s="3" t="s">
        <v>94</v>
      </c>
      <c r="AH13" s="3" t="s">
        <v>147</v>
      </c>
    </row>
    <row r="14" spans="3:71" s="3" customFormat="1" ht="18" x14ac:dyDescent="0.45">
      <c r="C14" s="12" t="str">
        <v>サービスマネジメント</v>
      </c>
      <c r="D14" s="14" t="s">
        <v>148</v>
      </c>
      <c r="H14" s="3" t="s">
        <v>63</v>
      </c>
      <c r="J14" s="3" t="s">
        <v>83</v>
      </c>
      <c r="M14" s="3" t="s">
        <v>95</v>
      </c>
    </row>
    <row r="15" spans="3:71" s="3" customFormat="1" ht="18" x14ac:dyDescent="0.45">
      <c r="C15" s="12" t="str">
        <v>システム監査</v>
      </c>
      <c r="D15" s="14" t="s">
        <v>153</v>
      </c>
      <c r="H15" s="3" t="s">
        <v>64</v>
      </c>
      <c r="J15" s="3" t="s">
        <v>84</v>
      </c>
      <c r="M15" s="3" t="s">
        <v>96</v>
      </c>
    </row>
    <row r="16" spans="3:71" s="3" customFormat="1" ht="18" x14ac:dyDescent="0.45">
      <c r="C16" s="12" t="str">
        <v>システム戦略</v>
      </c>
      <c r="D16" s="14" t="s">
        <v>155</v>
      </c>
      <c r="H16" s="3" t="s">
        <v>65</v>
      </c>
      <c r="M16" s="3" t="s">
        <v>97</v>
      </c>
    </row>
    <row r="17" spans="3:13" s="3" customFormat="1" ht="18" x14ac:dyDescent="0.45">
      <c r="C17" s="12" t="str">
        <v>システム企画</v>
      </c>
      <c r="D17" s="14" t="s">
        <v>160</v>
      </c>
      <c r="H17" s="3" t="s">
        <v>66</v>
      </c>
      <c r="M17" s="3" t="s">
        <v>98</v>
      </c>
    </row>
    <row r="18" spans="3:13" s="3" customFormat="1" ht="18" x14ac:dyDescent="0.45">
      <c r="C18" s="12" t="str">
        <v>経営戦略マネジメント</v>
      </c>
      <c r="D18" s="14" t="s">
        <v>168</v>
      </c>
      <c r="H18" s="3" t="s">
        <v>67</v>
      </c>
      <c r="M18" s="3" t="s">
        <v>99</v>
      </c>
    </row>
    <row r="19" spans="3:13" s="3" customFormat="1" ht="18" x14ac:dyDescent="0.45">
      <c r="C19" s="12" t="str">
        <v>技術戦略マネジメント</v>
      </c>
      <c r="D19" s="14" t="s">
        <v>169</v>
      </c>
      <c r="H19" s="3" t="s">
        <v>68</v>
      </c>
      <c r="M19" s="3" t="s">
        <v>100</v>
      </c>
    </row>
    <row r="20" spans="3:13" s="3" customFormat="1" ht="18" x14ac:dyDescent="0.45">
      <c r="C20" s="12" t="str">
        <v>ビジネスインダストリ</v>
      </c>
      <c r="D20" s="14" t="s">
        <v>172</v>
      </c>
      <c r="H20" s="3" t="s">
        <v>69</v>
      </c>
      <c r="M20" s="3" t="s">
        <v>101</v>
      </c>
    </row>
    <row r="21" spans="3:13" s="3" customFormat="1" ht="18" x14ac:dyDescent="0.45">
      <c r="C21" s="3" t="str">
        <v>企業と法務</v>
      </c>
      <c r="D21" s="14" t="s">
        <v>178</v>
      </c>
      <c r="H21" s="3" t="s">
        <v>70</v>
      </c>
    </row>
    <row r="22" spans="3:13" s="3" customFormat="1" ht="18" x14ac:dyDescent="0.45">
      <c r="C22" s="3" t="str">
        <v>Git</v>
      </c>
      <c r="D22" s="14" t="s">
        <v>309</v>
      </c>
      <c r="H22" s="3" t="s">
        <v>71</v>
      </c>
    </row>
    <row r="23" spans="3:13" s="3" customFormat="1" ht="18" x14ac:dyDescent="0.45">
      <c r="D23" s="14"/>
      <c r="H23" s="3" t="s">
        <v>72</v>
      </c>
    </row>
    <row r="24" spans="3:13" s="3" customFormat="1" ht="18" x14ac:dyDescent="0.45">
      <c r="D24"/>
      <c r="H24" s="3" t="s">
        <v>73</v>
      </c>
    </row>
    <row r="25" spans="3:13" s="3" customFormat="1" ht="18" x14ac:dyDescent="0.45">
      <c r="D25"/>
      <c r="H25" s="3" t="s">
        <v>74</v>
      </c>
    </row>
    <row r="26" spans="3:13" ht="18" x14ac:dyDescent="0.45">
      <c r="D26"/>
    </row>
    <row r="27" spans="3:13" ht="18" x14ac:dyDescent="0.45">
      <c r="D27"/>
    </row>
    <row r="28" spans="3:13" ht="18" x14ac:dyDescent="0.45">
      <c r="D28"/>
    </row>
    <row r="29" spans="3:13" ht="18" x14ac:dyDescent="0.45">
      <c r="D29"/>
    </row>
    <row r="30" spans="3:13" ht="18" x14ac:dyDescent="0.45">
      <c r="D30"/>
    </row>
    <row r="31" spans="3:13" ht="18" x14ac:dyDescent="0.45">
      <c r="D31"/>
    </row>
    <row r="32" spans="3:13" ht="18" x14ac:dyDescent="0.45">
      <c r="D32"/>
    </row>
    <row r="33" spans="4:4" ht="18" x14ac:dyDescent="0.45">
      <c r="D33"/>
    </row>
    <row r="34" spans="4:4" ht="18" x14ac:dyDescent="0.45">
      <c r="D34"/>
    </row>
    <row r="35" spans="4:4" ht="18" x14ac:dyDescent="0.45">
      <c r="D35"/>
    </row>
    <row r="36" spans="4:4" ht="18" x14ac:dyDescent="0.45">
      <c r="D36"/>
    </row>
    <row r="37" spans="4:4" ht="18" x14ac:dyDescent="0.45">
      <c r="D37"/>
    </row>
    <row r="38" spans="4:4" ht="18" x14ac:dyDescent="0.45">
      <c r="D38"/>
    </row>
    <row r="39" spans="4:4" ht="18" x14ac:dyDescent="0.45">
      <c r="D39"/>
    </row>
    <row r="40" spans="4:4" ht="18" x14ac:dyDescent="0.45">
      <c r="D40"/>
    </row>
    <row r="41" spans="4:4" ht="18" x14ac:dyDescent="0.45">
      <c r="D41"/>
    </row>
    <row r="42" spans="4:4" ht="18" x14ac:dyDescent="0.45">
      <c r="D42"/>
    </row>
    <row r="43" spans="4:4" ht="18" x14ac:dyDescent="0.45">
      <c r="D43"/>
    </row>
    <row r="44" spans="4:4" ht="18" x14ac:dyDescent="0.45">
      <c r="D44"/>
    </row>
    <row r="45" spans="4:4" ht="18" x14ac:dyDescent="0.45">
      <c r="D45"/>
    </row>
    <row r="46" spans="4:4" ht="18" x14ac:dyDescent="0.45">
      <c r="D46"/>
    </row>
    <row r="47" spans="4:4" ht="18" x14ac:dyDescent="0.45">
      <c r="D47"/>
    </row>
  </sheetData>
  <phoneticPr fontId="1"/>
  <conditionalFormatting sqref="L5">
    <cfRule type="cellIs" dxfId="2" priority="1" operator="equal">
      <formula>"親カテゴリ"</formula>
    </cfRule>
  </conditionalFormatting>
  <hyperlinks>
    <hyperlink ref="D4" location="$F$5" display="プログラミング言語" xr:uid="{17D5269B-1E0F-4E8C-A286-491CFC2DBDDC}"/>
    <hyperlink ref="D5" location="$I$5" display="基礎理論" xr:uid="{7E6E66DB-2676-41A2-BBAA-84AF4DFC8274}"/>
    <hyperlink ref="D6" location="$L$5" display="コンピュータシステム" xr:uid="{8E79D784-5C80-43D4-8FAD-0A867023A3E5}"/>
    <hyperlink ref="D7" location="$O$5" display="ユーザーインタフェース" xr:uid="{608970EE-0648-43B6-9679-5E1E232643AF}"/>
    <hyperlink ref="D8" location="$R$5" display="データベース" xr:uid="{5EA23F23-9A32-49E2-93EB-0A5B3003F119}"/>
    <hyperlink ref="D9" location="$U$5" display="ネットワーク" xr:uid="{31DCB947-E265-42BE-8DBC-8C7366F8BE7B}"/>
    <hyperlink ref="D10" location="$X$5" display="情報セキュリティ" xr:uid="{B2A7CBF8-31DD-4687-A59F-25CBD590F9D2}"/>
    <hyperlink ref="D11" location="$AA$5" display="システム開発技術" xr:uid="{8EFFAAA9-4315-4977-9C95-EEF54A0CD789}"/>
    <hyperlink ref="D12" location="$AD$5" display="ソフトウェア開発管理技術" xr:uid="{CD35BFD7-8B6F-43E0-B947-28A617B00A22}"/>
    <hyperlink ref="D13" location="$AG$5" display="プロジェクトマネジメント" xr:uid="{573DF262-64C2-4DAA-A605-5CBBDAE366A1}"/>
    <hyperlink ref="D14" location="$AJ$5" display="サービスマネジメント" xr:uid="{E2D06E2E-1A61-4E85-8F42-136850AFA82F}"/>
    <hyperlink ref="D15" location="$AM$5" display="システム監査" xr:uid="{9D41FF16-D3B6-45A3-BD1E-6F0AAD534140}"/>
    <hyperlink ref="D16" location="$AP$5" display="システム戦略" xr:uid="{F48CE254-5B85-409C-9B96-1B1EEE9995E7}"/>
    <hyperlink ref="D17" location="$AS$5" display="システム企画" xr:uid="{9D90BE6C-C073-4802-8292-88E69044CCAF}"/>
    <hyperlink ref="D18" location="$AV$5" display="経営戦略マネジメント" xr:uid="{C3EA1317-6E61-4162-AA35-FBE9C779A6AC}"/>
    <hyperlink ref="D19" location="$AY$5" display="技術戦略マネジメント" xr:uid="{32617692-0B77-4AB0-A03C-CBA2792B5E1C}"/>
    <hyperlink ref="D20" location="$BB$5" display="ビジネスインダストリ" xr:uid="{D0946D86-73A0-4328-9AA6-ECDABF469DE7}"/>
    <hyperlink ref="D21" location="$BE$5" display="企業と法務" xr:uid="{4D2900DB-C29C-4EC6-A911-46713DF7AC47}"/>
    <hyperlink ref="D22" location="$BH$5" display="Git" xr:uid="{A37D064F-2010-44DC-9964-2205DD51B760}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3.guroup">
                <anchor moveWithCells="1" sizeWithCells="1">
                  <from>
                    <xdr:col>2</xdr:col>
                    <xdr:colOff>777240</xdr:colOff>
                    <xdr:row>0</xdr:row>
                    <xdr:rowOff>15240</xdr:rowOff>
                  </from>
                  <to>
                    <xdr:col>2</xdr:col>
                    <xdr:colOff>1965960</xdr:colOff>
                    <xdr:row>0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heet3.reset">
                <anchor moveWithCells="1" sizeWithCells="1">
                  <from>
                    <xdr:col>2</xdr:col>
                    <xdr:colOff>777240</xdr:colOff>
                    <xdr:row>0</xdr:row>
                    <xdr:rowOff>457200</xdr:rowOff>
                  </from>
                  <to>
                    <xdr:col>2</xdr:col>
                    <xdr:colOff>1981200</xdr:colOff>
                    <xdr:row>0</xdr:row>
                    <xdr:rowOff>739140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Sheet3.hylink">
                <anchor moveWithCells="1" sizeWithCells="1">
                  <from>
                    <xdr:col>3</xdr:col>
                    <xdr:colOff>731520</xdr:colOff>
                    <xdr:row>0</xdr:row>
                    <xdr:rowOff>137160</xdr:rowOff>
                  </from>
                  <to>
                    <xdr:col>3</xdr:col>
                    <xdr:colOff>1661160</xdr:colOff>
                    <xdr:row>0</xdr:row>
                    <xdr:rowOff>647700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0F68AE-1AFA-4249-8563-BB8D3635525B}">
  <sheetPr codeName="Sheet4"/>
  <dimension ref="A1:R202"/>
  <sheetViews>
    <sheetView topLeftCell="A134" zoomScale="85" zoomScaleNormal="85" workbookViewId="0">
      <selection activeCell="C140" sqref="C140"/>
    </sheetView>
  </sheetViews>
  <sheetFormatPr defaultRowHeight="18.600000000000001" customHeight="1" x14ac:dyDescent="0.45"/>
  <cols>
    <col min="1" max="1" width="27.09765625" bestFit="1" customWidth="1"/>
    <col min="2" max="3" width="44.8984375" bestFit="1" customWidth="1"/>
    <col min="4" max="4" width="5.5" bestFit="1" customWidth="1"/>
    <col min="5" max="5" width="4.8984375" bestFit="1" customWidth="1"/>
    <col min="6" max="6" width="5.8984375" bestFit="1" customWidth="1"/>
    <col min="7" max="7" width="12" bestFit="1" customWidth="1"/>
    <col min="8" max="8" width="14.5" bestFit="1" customWidth="1"/>
    <col min="9" max="9" width="16" bestFit="1" customWidth="1"/>
    <col min="10" max="10" width="4.8984375" customWidth="1"/>
    <col min="11" max="11" width="7.59765625" bestFit="1" customWidth="1"/>
    <col min="12" max="12" width="21.59765625" bestFit="1" customWidth="1"/>
    <col min="14" max="14" width="18" bestFit="1" customWidth="1"/>
    <col min="15" max="15" width="39.8984375" bestFit="1" customWidth="1"/>
    <col min="17" max="17" width="26" bestFit="1" customWidth="1"/>
    <col min="18" max="18" width="19.59765625" bestFit="1" customWidth="1"/>
    <col min="20" max="20" width="24.796875" bestFit="1" customWidth="1"/>
    <col min="21" max="21" width="29.69921875" bestFit="1" customWidth="1"/>
    <col min="23" max="23" width="21.5" bestFit="1" customWidth="1"/>
    <col min="24" max="24" width="45.3984375" bestFit="1" customWidth="1"/>
    <col min="26" max="26" width="13.59765625" bestFit="1" customWidth="1"/>
    <col min="27" max="27" width="9.69921875" bestFit="1" customWidth="1"/>
    <col min="29" max="29" width="13.59765625" bestFit="1" customWidth="1"/>
    <col min="30" max="30" width="23.5" bestFit="1" customWidth="1"/>
    <col min="32" max="32" width="13.59765625" bestFit="1" customWidth="1"/>
    <col min="33" max="33" width="15.69921875" bestFit="1" customWidth="1"/>
  </cols>
  <sheetData>
    <row r="1" spans="1:13" thickBot="1" x14ac:dyDescent="0.5">
      <c r="A1" s="17" t="s">
        <v>52</v>
      </c>
      <c r="B1" s="17" t="s">
        <v>53</v>
      </c>
      <c r="C1" s="17" t="s">
        <v>54</v>
      </c>
      <c r="D1" s="19" t="s">
        <v>209</v>
      </c>
      <c r="E1" s="20"/>
      <c r="F1" s="21"/>
      <c r="G1" s="22" t="s">
        <v>329</v>
      </c>
      <c r="H1" s="17" t="s">
        <v>328</v>
      </c>
      <c r="I1" s="17" t="s">
        <v>327</v>
      </c>
    </row>
    <row r="2" spans="1:13" s="3" customFormat="1" ht="18.600000000000001" customHeight="1" x14ac:dyDescent="0.45">
      <c r="A2" s="9" t="s">
        <v>48</v>
      </c>
      <c r="B2" s="9" t="s">
        <v>49</v>
      </c>
      <c r="C2" s="9" t="s">
        <v>51</v>
      </c>
      <c r="D2" s="23" t="str">
        <f>IFERROR(VLOOKUP(A2,コード表２!$A$2:$B$294,2,FALSE),"")</f>
        <v>PL</v>
      </c>
      <c r="E2" s="23" t="str">
        <f>IFERROR(VLOOKUP(B2,コード表２!$E$2:$F$294,2,FALSE),"")</f>
        <v>JV</v>
      </c>
      <c r="F2" s="23" t="str">
        <f>IFERROR(VLOOKUP(C2,コード表２!$I$2:$J$294,2,FALSE),"")</f>
        <v>SY</v>
      </c>
      <c r="G2" s="23" t="str">
        <f>IF(D2="","",D2&amp;"-"&amp;E2&amp;"-")</f>
        <v>PL-JV-</v>
      </c>
      <c r="H2" s="23" t="str">
        <f>IF(D2="","",IF(F2="",D2&amp;"-"&amp;E2&amp;"-",D2&amp;"-"&amp;E2&amp;"-"&amp;F2&amp;"-"))</f>
        <v>PL-JV-SY-</v>
      </c>
      <c r="I2" s="23">
        <f t="shared" ref="I2:I65" si="0">IF(H2="","",COUNTIF($H$2:$H$190,H2))</f>
        <v>1</v>
      </c>
      <c r="J2" s="6"/>
    </row>
    <row r="3" spans="1:13" s="3" customFormat="1" ht="18.600000000000001" customHeight="1" x14ac:dyDescent="0.45">
      <c r="A3" s="8" t="s">
        <v>48</v>
      </c>
      <c r="B3" s="8" t="s">
        <v>49</v>
      </c>
      <c r="C3" s="8" t="s">
        <v>55</v>
      </c>
      <c r="D3" s="23" t="str">
        <f>IFERROR(VLOOKUP(A3,コード表２!$A$2:$B$294,2,FALSE),"")</f>
        <v>PL</v>
      </c>
      <c r="E3" s="23" t="str">
        <f>IFERROR(VLOOKUP(B3,コード表２!$E$2:$F$294,2,FALSE),"")</f>
        <v>JV</v>
      </c>
      <c r="F3" s="23" t="str">
        <f>IFERROR(VLOOKUP(C3,コード表２!$I$2:$J$294,2,FALSE),"")</f>
        <v>DT</v>
      </c>
      <c r="G3" s="23" t="str">
        <f t="shared" ref="G3:G66" si="1">IF(D3="","",D3&amp;"-"&amp;E3&amp;"-")</f>
        <v>PL-JV-</v>
      </c>
      <c r="H3" s="7" t="str">
        <f t="shared" ref="H3:H66" si="2">IF(D3="","",IF(F3="",D3&amp;"-"&amp;E3&amp;"-",D3&amp;"-"&amp;E3&amp;"-"&amp;F3&amp;"-"))</f>
        <v>PL-JV-DT-</v>
      </c>
      <c r="I3" s="7">
        <f t="shared" si="0"/>
        <v>1</v>
      </c>
      <c r="J3" s="6"/>
    </row>
    <row r="4" spans="1:13" s="3" customFormat="1" ht="18.600000000000001" customHeight="1" x14ac:dyDescent="0.45">
      <c r="A4" s="8" t="s">
        <v>48</v>
      </c>
      <c r="B4" s="8" t="s">
        <v>49</v>
      </c>
      <c r="C4" s="8" t="s">
        <v>56</v>
      </c>
      <c r="D4" s="23" t="str">
        <f>IFERROR(VLOOKUP(A4,コード表２!$A$2:$B$294,2,FALSE),"")</f>
        <v>PL</v>
      </c>
      <c r="E4" s="23" t="str">
        <f>IFERROR(VLOOKUP(B4,コード表２!$E$2:$F$294,2,FALSE),"")</f>
        <v>JV</v>
      </c>
      <c r="F4" s="23" t="str">
        <f>IFERROR(VLOOKUP(C4,コード表２!$I$2:$J$294,2,FALSE),"")</f>
        <v>SL</v>
      </c>
      <c r="G4" s="23" t="str">
        <f t="shared" si="1"/>
        <v>PL-JV-</v>
      </c>
      <c r="H4" s="7" t="str">
        <f t="shared" si="2"/>
        <v>PL-JV-SL-</v>
      </c>
      <c r="I4" s="7">
        <f t="shared" si="0"/>
        <v>1</v>
      </c>
      <c r="J4" s="6"/>
      <c r="M4" s="5"/>
    </row>
    <row r="5" spans="1:13" s="3" customFormat="1" ht="18.600000000000001" customHeight="1" x14ac:dyDescent="0.45">
      <c r="A5" s="8" t="s">
        <v>48</v>
      </c>
      <c r="B5" s="8" t="s">
        <v>49</v>
      </c>
      <c r="C5" s="8" t="s">
        <v>57</v>
      </c>
      <c r="D5" s="23" t="str">
        <f>IFERROR(VLOOKUP(A5,コード表２!$A$2:$B$294,2,FALSE),"")</f>
        <v>PL</v>
      </c>
      <c r="E5" s="23" t="str">
        <f>IFERROR(VLOOKUP(B5,コード表２!$E$2:$F$294,2,FALSE),"")</f>
        <v>JV</v>
      </c>
      <c r="F5" s="23" t="str">
        <f>IFERROR(VLOOKUP(C5,コード表２!$I$2:$J$294,2,FALSE),"")</f>
        <v>EL</v>
      </c>
      <c r="G5" s="23" t="str">
        <f t="shared" si="1"/>
        <v>PL-JV-</v>
      </c>
      <c r="H5" s="7" t="str">
        <f t="shared" si="2"/>
        <v>PL-JV-EL-</v>
      </c>
      <c r="I5" s="7">
        <f t="shared" si="0"/>
        <v>1</v>
      </c>
      <c r="J5" s="6"/>
    </row>
    <row r="6" spans="1:13" s="3" customFormat="1" ht="18.600000000000001" customHeight="1" x14ac:dyDescent="0.45">
      <c r="A6" s="8" t="s">
        <v>48</v>
      </c>
      <c r="B6" s="8" t="s">
        <v>49</v>
      </c>
      <c r="C6" s="8" t="s">
        <v>58</v>
      </c>
      <c r="D6" s="23" t="str">
        <f>IFERROR(VLOOKUP(A6,コード表２!$A$2:$B$294,2,FALSE),"")</f>
        <v>PL</v>
      </c>
      <c r="E6" s="23" t="str">
        <f>IFERROR(VLOOKUP(B6,コード表２!$E$2:$F$294,2,FALSE),"")</f>
        <v>JV</v>
      </c>
      <c r="F6" s="23" t="str">
        <f>IFERROR(VLOOKUP(C6,コード表２!$I$2:$J$294,2,FALSE),"")</f>
        <v>FW</v>
      </c>
      <c r="G6" s="23" t="str">
        <f t="shared" si="1"/>
        <v>PL-JV-</v>
      </c>
      <c r="H6" s="7" t="str">
        <f t="shared" si="2"/>
        <v>PL-JV-FW-</v>
      </c>
      <c r="I6" s="7">
        <f t="shared" si="0"/>
        <v>1</v>
      </c>
      <c r="J6" s="6"/>
    </row>
    <row r="7" spans="1:13" s="3" customFormat="1" ht="18.600000000000001" customHeight="1" x14ac:dyDescent="0.45">
      <c r="A7" s="8" t="s">
        <v>48</v>
      </c>
      <c r="B7" s="8" t="s">
        <v>49</v>
      </c>
      <c r="C7" s="8" t="s">
        <v>59</v>
      </c>
      <c r="D7" s="23" t="str">
        <f>IFERROR(VLOOKUP(A7,コード表２!$A$2:$B$294,2,FALSE),"")</f>
        <v>PL</v>
      </c>
      <c r="E7" s="23" t="str">
        <f>IFERROR(VLOOKUP(B7,コード表２!$E$2:$F$294,2,FALSE),"")</f>
        <v>JV</v>
      </c>
      <c r="F7" s="23" t="str">
        <f>IFERROR(VLOOKUP(C7,コード表２!$I$2:$J$294,2,FALSE),"")</f>
        <v>DE</v>
      </c>
      <c r="G7" s="23" t="str">
        <f t="shared" si="1"/>
        <v>PL-JV-</v>
      </c>
      <c r="H7" s="7" t="str">
        <f t="shared" si="2"/>
        <v>PL-JV-DE-</v>
      </c>
      <c r="I7" s="7">
        <f t="shared" si="0"/>
        <v>1</v>
      </c>
      <c r="J7" s="6"/>
    </row>
    <row r="8" spans="1:13" s="3" customFormat="1" ht="18.600000000000001" customHeight="1" x14ac:dyDescent="0.45">
      <c r="A8" s="8" t="s">
        <v>48</v>
      </c>
      <c r="B8" s="8" t="s">
        <v>49</v>
      </c>
      <c r="C8" s="8" t="s">
        <v>60</v>
      </c>
      <c r="D8" s="23" t="str">
        <f>IFERROR(VLOOKUP(A8,コード表２!$A$2:$B$294,2,FALSE),"")</f>
        <v>PL</v>
      </c>
      <c r="E8" s="23" t="str">
        <f>IFERROR(VLOOKUP(B8,コード表２!$E$2:$F$294,2,FALSE),"")</f>
        <v>JV</v>
      </c>
      <c r="F8" s="23" t="str">
        <f>IFERROR(VLOOKUP(C8,コード表２!$I$2:$J$294,2,FALSE),"")</f>
        <v>TE</v>
      </c>
      <c r="G8" s="23" t="str">
        <f t="shared" si="1"/>
        <v>PL-JV-</v>
      </c>
      <c r="H8" s="7" t="str">
        <f t="shared" si="2"/>
        <v>PL-JV-TE-</v>
      </c>
      <c r="I8" s="7">
        <f t="shared" si="0"/>
        <v>1</v>
      </c>
      <c r="J8" s="6"/>
    </row>
    <row r="9" spans="1:13" s="3" customFormat="1" ht="18.600000000000001" customHeight="1" x14ac:dyDescent="0.45">
      <c r="A9" s="8" t="s">
        <v>48</v>
      </c>
      <c r="B9" s="8" t="s">
        <v>49</v>
      </c>
      <c r="C9" s="8" t="s">
        <v>61</v>
      </c>
      <c r="D9" s="23" t="str">
        <f>IFERROR(VLOOKUP(A9,コード表２!$A$2:$B$294,2,FALSE),"")</f>
        <v>PL</v>
      </c>
      <c r="E9" s="23" t="str">
        <f>IFERROR(VLOOKUP(B9,コード表２!$E$2:$F$294,2,FALSE),"")</f>
        <v>JV</v>
      </c>
      <c r="F9" s="23" t="str">
        <f>IFERROR(VLOOKUP(C9,コード表２!$I$2:$J$294,2,FALSE),"")</f>
        <v>DB</v>
      </c>
      <c r="G9" s="23" t="str">
        <f t="shared" si="1"/>
        <v>PL-JV-</v>
      </c>
      <c r="H9" s="7" t="str">
        <f t="shared" si="2"/>
        <v>PL-JV-DB-</v>
      </c>
      <c r="I9" s="7">
        <f t="shared" si="0"/>
        <v>1</v>
      </c>
      <c r="J9" s="6"/>
    </row>
    <row r="10" spans="1:13" s="3" customFormat="1" ht="18.600000000000001" customHeight="1" x14ac:dyDescent="0.45">
      <c r="A10" s="8" t="s">
        <v>48</v>
      </c>
      <c r="B10" s="8" t="s">
        <v>49</v>
      </c>
      <c r="C10" s="8" t="s">
        <v>62</v>
      </c>
      <c r="D10" s="23" t="str">
        <f>IFERROR(VLOOKUP(A10,コード表２!$A$2:$B$294,2,FALSE),"")</f>
        <v>PL</v>
      </c>
      <c r="E10" s="23" t="str">
        <f>IFERROR(VLOOKUP(B10,コード表２!$E$2:$F$294,2,FALSE),"")</f>
        <v>JV</v>
      </c>
      <c r="F10" s="23" t="str">
        <f>IFERROR(VLOOKUP(C10,コード表２!$I$2:$J$294,2,FALSE),"")</f>
        <v>OO</v>
      </c>
      <c r="G10" s="23" t="str">
        <f t="shared" si="1"/>
        <v>PL-JV-</v>
      </c>
      <c r="H10" s="7" t="str">
        <f t="shared" si="2"/>
        <v>PL-JV-OO-</v>
      </c>
      <c r="I10" s="7">
        <f t="shared" si="0"/>
        <v>1</v>
      </c>
      <c r="J10" s="6"/>
    </row>
    <row r="11" spans="1:13" s="3" customFormat="1" ht="18.600000000000001" customHeight="1" x14ac:dyDescent="0.45">
      <c r="A11" s="8" t="s">
        <v>48</v>
      </c>
      <c r="B11" s="8" t="s">
        <v>49</v>
      </c>
      <c r="C11" s="8" t="s">
        <v>63</v>
      </c>
      <c r="D11" s="23" t="str">
        <f>IFERROR(VLOOKUP(A11,コード表２!$A$2:$B$294,2,FALSE),"")</f>
        <v>PL</v>
      </c>
      <c r="E11" s="23" t="str">
        <f>IFERROR(VLOOKUP(B11,コード表２!$E$2:$F$294,2,FALSE),"")</f>
        <v>JV</v>
      </c>
      <c r="F11" s="23" t="str">
        <f>IFERROR(VLOOKUP(C11,コード表２!$I$2:$J$294,2,FALSE),"")</f>
        <v>FP</v>
      </c>
      <c r="G11" s="23" t="str">
        <f t="shared" si="1"/>
        <v>PL-JV-</v>
      </c>
      <c r="H11" s="7" t="str">
        <f t="shared" si="2"/>
        <v>PL-JV-FP-</v>
      </c>
      <c r="I11" s="7">
        <f t="shared" si="0"/>
        <v>1</v>
      </c>
      <c r="J11" s="6"/>
    </row>
    <row r="12" spans="1:13" s="3" customFormat="1" ht="18.600000000000001" customHeight="1" x14ac:dyDescent="0.45">
      <c r="A12" s="8" t="s">
        <v>48</v>
      </c>
      <c r="B12" s="8" t="s">
        <v>49</v>
      </c>
      <c r="C12" s="8" t="s">
        <v>64</v>
      </c>
      <c r="D12" s="23" t="str">
        <f>IFERROR(VLOOKUP(A12,コード表２!$A$2:$B$294,2,FALSE),"")</f>
        <v>PL</v>
      </c>
      <c r="E12" s="23" t="str">
        <f>IFERROR(VLOOKUP(B12,コード表２!$E$2:$F$294,2,FALSE),"")</f>
        <v>JV</v>
      </c>
      <c r="F12" s="23" t="str">
        <f>IFERROR(VLOOKUP(C12,コード表２!$I$2:$J$294,2,FALSE),"")</f>
        <v>PP</v>
      </c>
      <c r="G12" s="23" t="str">
        <f t="shared" si="1"/>
        <v>PL-JV-</v>
      </c>
      <c r="H12" s="7" t="str">
        <f t="shared" si="2"/>
        <v>PL-JV-PP-</v>
      </c>
      <c r="I12" s="7">
        <f t="shared" si="0"/>
        <v>1</v>
      </c>
      <c r="J12" s="6"/>
    </row>
    <row r="13" spans="1:13" s="3" customFormat="1" ht="18.600000000000001" customHeight="1" x14ac:dyDescent="0.45">
      <c r="A13" s="8" t="s">
        <v>48</v>
      </c>
      <c r="B13" s="8" t="s">
        <v>49</v>
      </c>
      <c r="C13" s="8" t="s">
        <v>65</v>
      </c>
      <c r="D13" s="23" t="str">
        <f>IFERROR(VLOOKUP(A13,コード表２!$A$2:$B$294,2,FALSE),"")</f>
        <v>PL</v>
      </c>
      <c r="E13" s="23" t="str">
        <f>IFERROR(VLOOKUP(B13,コード表２!$E$2:$F$294,2,FALSE),"")</f>
        <v>JV</v>
      </c>
      <c r="F13" s="23" t="str">
        <f>IFERROR(VLOOKUP(C13,コード表２!$I$2:$J$294,2,FALSE),"")</f>
        <v>SQ</v>
      </c>
      <c r="G13" s="23" t="str">
        <f t="shared" si="1"/>
        <v>PL-JV-</v>
      </c>
      <c r="H13" s="7" t="str">
        <f t="shared" si="2"/>
        <v>PL-JV-SQ-</v>
      </c>
      <c r="I13" s="7">
        <f t="shared" si="0"/>
        <v>1</v>
      </c>
      <c r="J13" s="6"/>
    </row>
    <row r="14" spans="1:13" s="3" customFormat="1" ht="18.600000000000001" customHeight="1" x14ac:dyDescent="0.45">
      <c r="A14" s="8" t="s">
        <v>48</v>
      </c>
      <c r="B14" s="8" t="s">
        <v>49</v>
      </c>
      <c r="C14" s="8" t="s">
        <v>66</v>
      </c>
      <c r="D14" s="23" t="str">
        <f>IFERROR(VLOOKUP(A14,コード表２!$A$2:$B$294,2,FALSE),"")</f>
        <v>PL</v>
      </c>
      <c r="E14" s="23" t="str">
        <f>IFERROR(VLOOKUP(B14,コード表２!$E$2:$F$294,2,FALSE),"")</f>
        <v>JV</v>
      </c>
      <c r="F14" s="23" t="str">
        <f>IFERROR(VLOOKUP(C14,コード表２!$I$2:$J$294,2,FALSE),"")</f>
        <v>OR</v>
      </c>
      <c r="G14" s="23" t="str">
        <f t="shared" si="1"/>
        <v>PL-JV-</v>
      </c>
      <c r="H14" s="7" t="str">
        <f t="shared" si="2"/>
        <v>PL-JV-OR-</v>
      </c>
      <c r="I14" s="7">
        <f t="shared" si="0"/>
        <v>1</v>
      </c>
      <c r="J14" s="6"/>
    </row>
    <row r="15" spans="1:13" s="3" customFormat="1" ht="18.600000000000001" customHeight="1" x14ac:dyDescent="0.45">
      <c r="A15" s="8" t="s">
        <v>48</v>
      </c>
      <c r="B15" s="8" t="s">
        <v>49</v>
      </c>
      <c r="C15" s="8" t="s">
        <v>67</v>
      </c>
      <c r="D15" s="23" t="str">
        <f>IFERROR(VLOOKUP(A15,コード表２!$A$2:$B$294,2,FALSE),"")</f>
        <v>PL</v>
      </c>
      <c r="E15" s="23" t="str">
        <f>IFERROR(VLOOKUP(B15,コード表２!$E$2:$F$294,2,FALSE),"")</f>
        <v>JV</v>
      </c>
      <c r="F15" s="23" t="str">
        <f>IFERROR(VLOOKUP(C15,コード表２!$I$2:$J$294,2,FALSE),"")</f>
        <v>UT</v>
      </c>
      <c r="G15" s="23" t="str">
        <f t="shared" si="1"/>
        <v>PL-JV-</v>
      </c>
      <c r="H15" s="7" t="str">
        <f t="shared" si="2"/>
        <v>PL-JV-UT-</v>
      </c>
      <c r="I15" s="7">
        <f t="shared" si="0"/>
        <v>1</v>
      </c>
      <c r="J15" s="6"/>
    </row>
    <row r="16" spans="1:13" s="3" customFormat="1" ht="18.600000000000001" customHeight="1" x14ac:dyDescent="0.45">
      <c r="A16" s="8" t="s">
        <v>48</v>
      </c>
      <c r="B16" s="8" t="s">
        <v>49</v>
      </c>
      <c r="C16" s="8" t="s">
        <v>68</v>
      </c>
      <c r="D16" s="23" t="str">
        <f>IFERROR(VLOOKUP(A16,コード表２!$A$2:$B$294,2,FALSE),"")</f>
        <v>PL</v>
      </c>
      <c r="E16" s="23" t="str">
        <f>IFERROR(VLOOKUP(B16,コード表２!$E$2:$F$294,2,FALSE),"")</f>
        <v>JV</v>
      </c>
      <c r="F16" s="23" t="str">
        <f>IFERROR(VLOOKUP(C16,コード表２!$I$2:$J$294,2,FALSE),"")</f>
        <v>IT</v>
      </c>
      <c r="G16" s="23" t="str">
        <f t="shared" si="1"/>
        <v>PL-JV-</v>
      </c>
      <c r="H16" s="7" t="str">
        <f t="shared" si="2"/>
        <v>PL-JV-IT-</v>
      </c>
      <c r="I16" s="7">
        <f t="shared" si="0"/>
        <v>1</v>
      </c>
      <c r="J16" s="6"/>
    </row>
    <row r="17" spans="1:18" s="3" customFormat="1" ht="18.600000000000001" customHeight="1" x14ac:dyDescent="0.45">
      <c r="A17" s="8" t="s">
        <v>48</v>
      </c>
      <c r="B17" s="8" t="s">
        <v>49</v>
      </c>
      <c r="C17" s="8" t="s">
        <v>69</v>
      </c>
      <c r="D17" s="23" t="str">
        <f>IFERROR(VLOOKUP(A17,コード表２!$A$2:$B$294,2,FALSE),"")</f>
        <v>PL</v>
      </c>
      <c r="E17" s="23" t="str">
        <f>IFERROR(VLOOKUP(B17,コード表２!$E$2:$F$294,2,FALSE),"")</f>
        <v>JV</v>
      </c>
      <c r="F17" s="23" t="str">
        <f>IFERROR(VLOOKUP(C17,コード表２!$I$2:$J$294,2,FALSE),"")</f>
        <v>MK</v>
      </c>
      <c r="G17" s="23" t="str">
        <f t="shared" si="1"/>
        <v>PL-JV-</v>
      </c>
      <c r="H17" s="7" t="str">
        <f t="shared" si="2"/>
        <v>PL-JV-MK-</v>
      </c>
      <c r="I17" s="7">
        <f t="shared" si="0"/>
        <v>1</v>
      </c>
      <c r="J17" s="6"/>
    </row>
    <row r="18" spans="1:18" s="3" customFormat="1" ht="18.600000000000001" customHeight="1" x14ac:dyDescent="0.45">
      <c r="A18" s="8" t="s">
        <v>48</v>
      </c>
      <c r="B18" s="8" t="s">
        <v>49</v>
      </c>
      <c r="C18" s="8" t="s">
        <v>70</v>
      </c>
      <c r="D18" s="23" t="str">
        <f>IFERROR(VLOOKUP(A18,コード表２!$A$2:$B$294,2,FALSE),"")</f>
        <v>PL</v>
      </c>
      <c r="E18" s="23" t="str">
        <f>IFERROR(VLOOKUP(B18,コード表２!$E$2:$F$294,2,FALSE),"")</f>
        <v>JV</v>
      </c>
      <c r="F18" s="23" t="str">
        <f>IFERROR(VLOOKUP(C18,コード表２!$I$2:$J$294,2,FALSE),"")</f>
        <v>OP</v>
      </c>
      <c r="G18" s="23" t="str">
        <f t="shared" si="1"/>
        <v>PL-JV-</v>
      </c>
      <c r="H18" s="7" t="str">
        <f t="shared" si="2"/>
        <v>PL-JV-OP-</v>
      </c>
      <c r="I18" s="7">
        <f t="shared" si="0"/>
        <v>1</v>
      </c>
      <c r="J18" s="6"/>
    </row>
    <row r="19" spans="1:18" s="3" customFormat="1" ht="18.600000000000001" customHeight="1" x14ac:dyDescent="0.45">
      <c r="A19" s="8" t="s">
        <v>48</v>
      </c>
      <c r="B19" s="8" t="s">
        <v>49</v>
      </c>
      <c r="C19" s="8" t="s">
        <v>71</v>
      </c>
      <c r="D19" s="23" t="str">
        <f>IFERROR(VLOOKUP(A19,コード表２!$A$2:$B$294,2,FALSE),"")</f>
        <v>PL</v>
      </c>
      <c r="E19" s="23" t="str">
        <f>IFERROR(VLOOKUP(B19,コード表２!$E$2:$F$294,2,FALSE),"")</f>
        <v>JV</v>
      </c>
      <c r="F19" s="23" t="str">
        <f>IFERROR(VLOOKUP(C19,コード表２!$I$2:$J$294,2,FALSE),"")</f>
        <v>MM</v>
      </c>
      <c r="G19" s="23" t="str">
        <f t="shared" si="1"/>
        <v>PL-JV-</v>
      </c>
      <c r="H19" s="7" t="str">
        <f t="shared" si="2"/>
        <v>PL-JV-MM-</v>
      </c>
      <c r="I19" s="7">
        <f t="shared" si="0"/>
        <v>1</v>
      </c>
      <c r="J19" s="6"/>
    </row>
    <row r="20" spans="1:18" s="3" customFormat="1" ht="18.600000000000001" customHeight="1" x14ac:dyDescent="0.45">
      <c r="A20" s="8" t="s">
        <v>48</v>
      </c>
      <c r="B20" s="8" t="s">
        <v>49</v>
      </c>
      <c r="C20" s="8" t="s">
        <v>72</v>
      </c>
      <c r="D20" s="23" t="str">
        <f>IFERROR(VLOOKUP(A20,コード表２!$A$2:$B$294,2,FALSE),"")</f>
        <v>PL</v>
      </c>
      <c r="E20" s="23" t="str">
        <f>IFERROR(VLOOKUP(B20,コード表２!$E$2:$F$294,2,FALSE),"")</f>
        <v>JV</v>
      </c>
      <c r="F20" s="23" t="str">
        <f>IFERROR(VLOOKUP(C20,コード表２!$I$2:$J$294,2,FALSE),"")</f>
        <v>TM</v>
      </c>
      <c r="G20" s="23" t="str">
        <f t="shared" si="1"/>
        <v>PL-JV-</v>
      </c>
      <c r="H20" s="7" t="str">
        <f t="shared" si="2"/>
        <v>PL-JV-TM-</v>
      </c>
      <c r="I20" s="7">
        <f t="shared" si="0"/>
        <v>1</v>
      </c>
      <c r="J20" s="6"/>
    </row>
    <row r="21" spans="1:18" s="3" customFormat="1" ht="18.600000000000001" customHeight="1" x14ac:dyDescent="0.45">
      <c r="A21" s="8" t="s">
        <v>48</v>
      </c>
      <c r="B21" s="8" t="s">
        <v>49</v>
      </c>
      <c r="C21" s="8" t="s">
        <v>73</v>
      </c>
      <c r="D21" s="23" t="str">
        <f>IFERROR(VLOOKUP(A21,コード表２!$A$2:$B$294,2,FALSE),"")</f>
        <v>PL</v>
      </c>
      <c r="E21" s="23" t="str">
        <f>IFERROR(VLOOKUP(B21,コード表２!$E$2:$F$294,2,FALSE),"")</f>
        <v>JV</v>
      </c>
      <c r="F21" s="23" t="str">
        <f>IFERROR(VLOOKUP(C21,コード表２!$I$2:$J$294,2,FALSE),"")</f>
        <v>EX</v>
      </c>
      <c r="G21" s="23" t="str">
        <f t="shared" si="1"/>
        <v>PL-JV-</v>
      </c>
      <c r="H21" s="7" t="str">
        <f t="shared" si="2"/>
        <v>PL-JV-EX-</v>
      </c>
      <c r="I21" s="7">
        <f t="shared" si="0"/>
        <v>1</v>
      </c>
      <c r="J21" s="6"/>
    </row>
    <row r="22" spans="1:18" s="3" customFormat="1" ht="18.600000000000001" customHeight="1" x14ac:dyDescent="0.45">
      <c r="A22" s="8" t="s">
        <v>48</v>
      </c>
      <c r="B22" s="8" t="s">
        <v>49</v>
      </c>
      <c r="C22" s="8" t="s">
        <v>74</v>
      </c>
      <c r="D22" s="23" t="str">
        <f>IFERROR(VLOOKUP(A22,コード表２!$A$2:$B$294,2,FALSE),"")</f>
        <v>PL</v>
      </c>
      <c r="E22" s="23" t="str">
        <f>IFERROR(VLOOKUP(B22,コード表２!$E$2:$F$294,2,FALSE),"")</f>
        <v>JV</v>
      </c>
      <c r="F22" s="23" t="str">
        <f>IFERROR(VLOOKUP(C22,コード表２!$I$2:$J$294,2,FALSE),"")</f>
        <v>LG</v>
      </c>
      <c r="G22" s="23" t="str">
        <f t="shared" si="1"/>
        <v>PL-JV-</v>
      </c>
      <c r="H22" s="7" t="str">
        <f t="shared" si="2"/>
        <v>PL-JV-LG-</v>
      </c>
      <c r="I22" s="7">
        <f t="shared" si="0"/>
        <v>1</v>
      </c>
      <c r="J22" s="6"/>
    </row>
    <row r="23" spans="1:18" s="4" customFormat="1" ht="18.600000000000001" customHeight="1" x14ac:dyDescent="0.45">
      <c r="A23" s="8" t="s">
        <v>48</v>
      </c>
      <c r="B23" s="8" t="s">
        <v>50</v>
      </c>
      <c r="C23" s="8" t="s">
        <v>51</v>
      </c>
      <c r="D23" s="23" t="str">
        <f>IFERROR(VLOOKUP(A23,コード表２!$A$2:$B$294,2,FALSE),"")</f>
        <v>PL</v>
      </c>
      <c r="E23" s="23" t="str">
        <f>IFERROR(VLOOKUP(B23,コード表２!$E$2:$F$294,2,FALSE),"")</f>
        <v>JS</v>
      </c>
      <c r="F23" s="23" t="str">
        <f>IFERROR(VLOOKUP(C23,コード表２!$I$2:$J$294,2,FALSE),"")</f>
        <v>SY</v>
      </c>
      <c r="G23" s="23" t="str">
        <f t="shared" si="1"/>
        <v>PL-JS-</v>
      </c>
      <c r="H23" s="7" t="str">
        <f t="shared" si="2"/>
        <v>PL-JS-SY-</v>
      </c>
      <c r="I23" s="7">
        <f t="shared" si="0"/>
        <v>1</v>
      </c>
    </row>
    <row r="24" spans="1:18" s="4" customFormat="1" ht="18.600000000000001" customHeight="1" x14ac:dyDescent="0.45">
      <c r="A24" s="8" t="s">
        <v>48</v>
      </c>
      <c r="B24" s="8" t="s">
        <v>50</v>
      </c>
      <c r="C24" s="8" t="s">
        <v>55</v>
      </c>
      <c r="D24" s="23" t="str">
        <f>IFERROR(VLOOKUP(A24,コード表２!$A$2:$B$294,2,FALSE),"")</f>
        <v>PL</v>
      </c>
      <c r="E24" s="23" t="str">
        <f>IFERROR(VLOOKUP(B24,コード表２!$E$2:$F$294,2,FALSE),"")</f>
        <v>JS</v>
      </c>
      <c r="F24" s="23" t="str">
        <f>IFERROR(VLOOKUP(C24,コード表２!$I$2:$J$294,2,FALSE),"")</f>
        <v>DT</v>
      </c>
      <c r="G24" s="23" t="str">
        <f t="shared" si="1"/>
        <v>PL-JS-</v>
      </c>
      <c r="H24" s="7" t="str">
        <f t="shared" si="2"/>
        <v>PL-JS-DT-</v>
      </c>
      <c r="I24" s="7">
        <f t="shared" si="0"/>
        <v>1</v>
      </c>
    </row>
    <row r="25" spans="1:18" s="4" customFormat="1" ht="18.600000000000001" customHeight="1" x14ac:dyDescent="0.45">
      <c r="A25" s="8" t="s">
        <v>48</v>
      </c>
      <c r="B25" s="8" t="s">
        <v>50</v>
      </c>
      <c r="C25" s="8" t="s">
        <v>56</v>
      </c>
      <c r="D25" s="23" t="str">
        <f>IFERROR(VLOOKUP(A25,コード表２!$A$2:$B$294,2,FALSE),"")</f>
        <v>PL</v>
      </c>
      <c r="E25" s="23" t="str">
        <f>IFERROR(VLOOKUP(B25,コード表２!$E$2:$F$294,2,FALSE),"")</f>
        <v>JS</v>
      </c>
      <c r="F25" s="23" t="str">
        <f>IFERROR(VLOOKUP(C25,コード表２!$I$2:$J$294,2,FALSE),"")</f>
        <v>SL</v>
      </c>
      <c r="G25" s="23" t="str">
        <f t="shared" si="1"/>
        <v>PL-JS-</v>
      </c>
      <c r="H25" s="7" t="str">
        <f t="shared" si="2"/>
        <v>PL-JS-SL-</v>
      </c>
      <c r="I25" s="7">
        <f t="shared" si="0"/>
        <v>1</v>
      </c>
    </row>
    <row r="26" spans="1:18" s="4" customFormat="1" ht="18.600000000000001" customHeight="1" x14ac:dyDescent="0.45">
      <c r="A26" s="8" t="s">
        <v>48</v>
      </c>
      <c r="B26" s="8" t="s">
        <v>50</v>
      </c>
      <c r="C26" s="8" t="s">
        <v>57</v>
      </c>
      <c r="D26" s="23" t="str">
        <f>IFERROR(VLOOKUP(A26,コード表２!$A$2:$B$294,2,FALSE),"")</f>
        <v>PL</v>
      </c>
      <c r="E26" s="23" t="str">
        <f>IFERROR(VLOOKUP(B26,コード表２!$E$2:$F$294,2,FALSE),"")</f>
        <v>JS</v>
      </c>
      <c r="F26" s="23" t="str">
        <f>IFERROR(VLOOKUP(C26,コード表２!$I$2:$J$294,2,FALSE),"")</f>
        <v>EL</v>
      </c>
      <c r="G26" s="23" t="str">
        <f t="shared" si="1"/>
        <v>PL-JS-</v>
      </c>
      <c r="H26" s="7" t="str">
        <f t="shared" si="2"/>
        <v>PL-JS-EL-</v>
      </c>
      <c r="I26" s="7">
        <f t="shared" si="0"/>
        <v>1</v>
      </c>
    </row>
    <row r="27" spans="1:18" s="4" customFormat="1" ht="18.600000000000001" customHeight="1" x14ac:dyDescent="0.45">
      <c r="A27" s="8" t="s">
        <v>48</v>
      </c>
      <c r="B27" s="8" t="s">
        <v>50</v>
      </c>
      <c r="C27" s="8" t="s">
        <v>58</v>
      </c>
      <c r="D27" s="23" t="str">
        <f>IFERROR(VLOOKUP(A27,コード表２!$A$2:$B$294,2,FALSE),"")</f>
        <v>PL</v>
      </c>
      <c r="E27" s="23" t="str">
        <f>IFERROR(VLOOKUP(B27,コード表２!$E$2:$F$294,2,FALSE),"")</f>
        <v>JS</v>
      </c>
      <c r="F27" s="23" t="str">
        <f>IFERROR(VLOOKUP(C27,コード表２!$I$2:$J$294,2,FALSE),"")</f>
        <v>FW</v>
      </c>
      <c r="G27" s="23" t="str">
        <f t="shared" si="1"/>
        <v>PL-JS-</v>
      </c>
      <c r="H27" s="7" t="str">
        <f t="shared" si="2"/>
        <v>PL-JS-FW-</v>
      </c>
      <c r="I27" s="7">
        <f t="shared" si="0"/>
        <v>1</v>
      </c>
    </row>
    <row r="28" spans="1:18" s="4" customFormat="1" ht="18.600000000000001" customHeight="1" x14ac:dyDescent="0.45">
      <c r="A28" s="8" t="s">
        <v>48</v>
      </c>
      <c r="B28" s="8" t="s">
        <v>50</v>
      </c>
      <c r="C28" s="8" t="s">
        <v>59</v>
      </c>
      <c r="D28" s="23" t="str">
        <f>IFERROR(VLOOKUP(A28,コード表２!$A$2:$B$294,2,FALSE),"")</f>
        <v>PL</v>
      </c>
      <c r="E28" s="23" t="str">
        <f>IFERROR(VLOOKUP(B28,コード表２!$E$2:$F$294,2,FALSE),"")</f>
        <v>JS</v>
      </c>
      <c r="F28" s="23" t="str">
        <f>IFERROR(VLOOKUP(C28,コード表２!$I$2:$J$294,2,FALSE),"")</f>
        <v>DE</v>
      </c>
      <c r="G28" s="23" t="str">
        <f t="shared" si="1"/>
        <v>PL-JS-</v>
      </c>
      <c r="H28" s="7" t="str">
        <f t="shared" si="2"/>
        <v>PL-JS-DE-</v>
      </c>
      <c r="I28" s="7">
        <f t="shared" si="0"/>
        <v>1</v>
      </c>
    </row>
    <row r="29" spans="1:18" s="4" customFormat="1" ht="18.600000000000001" customHeight="1" x14ac:dyDescent="0.45">
      <c r="A29" s="8" t="s">
        <v>48</v>
      </c>
      <c r="B29" s="8" t="s">
        <v>50</v>
      </c>
      <c r="C29" s="8" t="s">
        <v>60</v>
      </c>
      <c r="D29" s="23" t="str">
        <f>IFERROR(VLOOKUP(A29,コード表２!$A$2:$B$294,2,FALSE),"")</f>
        <v>PL</v>
      </c>
      <c r="E29" s="23" t="str">
        <f>IFERROR(VLOOKUP(B29,コード表２!$E$2:$F$294,2,FALSE),"")</f>
        <v>JS</v>
      </c>
      <c r="F29" s="23" t="str">
        <f>IFERROR(VLOOKUP(C29,コード表２!$I$2:$J$294,2,FALSE),"")</f>
        <v>TE</v>
      </c>
      <c r="G29" s="23" t="str">
        <f t="shared" si="1"/>
        <v>PL-JS-</v>
      </c>
      <c r="H29" s="7" t="str">
        <f t="shared" si="2"/>
        <v>PL-JS-TE-</v>
      </c>
      <c r="I29" s="7">
        <f t="shared" si="0"/>
        <v>1</v>
      </c>
      <c r="M29" s="3"/>
      <c r="P29" s="3"/>
    </row>
    <row r="30" spans="1:18" s="4" customFormat="1" ht="18.600000000000001" customHeight="1" x14ac:dyDescent="0.45">
      <c r="A30" s="8" t="s">
        <v>48</v>
      </c>
      <c r="B30" s="8" t="s">
        <v>50</v>
      </c>
      <c r="C30" s="8" t="s">
        <v>61</v>
      </c>
      <c r="D30" s="23" t="str">
        <f>IFERROR(VLOOKUP(A30,コード表２!$A$2:$B$294,2,FALSE),"")</f>
        <v>PL</v>
      </c>
      <c r="E30" s="23" t="str">
        <f>IFERROR(VLOOKUP(B30,コード表２!$E$2:$F$294,2,FALSE),"")</f>
        <v>JS</v>
      </c>
      <c r="F30" s="23" t="str">
        <f>IFERROR(VLOOKUP(C30,コード表２!$I$2:$J$294,2,FALSE),"")</f>
        <v>DB</v>
      </c>
      <c r="G30" s="23" t="str">
        <f t="shared" si="1"/>
        <v>PL-JS-</v>
      </c>
      <c r="H30" s="7" t="str">
        <f t="shared" si="2"/>
        <v>PL-JS-DB-</v>
      </c>
      <c r="I30" s="7">
        <f t="shared" si="0"/>
        <v>1</v>
      </c>
      <c r="K30" s="3"/>
      <c r="L30" s="3"/>
      <c r="M30" s="3"/>
      <c r="P30" s="3"/>
    </row>
    <row r="31" spans="1:18" s="4" customFormat="1" ht="18.600000000000001" customHeight="1" x14ac:dyDescent="0.45">
      <c r="A31" s="8" t="s">
        <v>48</v>
      </c>
      <c r="B31" s="8" t="s">
        <v>50</v>
      </c>
      <c r="C31" s="8" t="s">
        <v>62</v>
      </c>
      <c r="D31" s="23" t="str">
        <f>IFERROR(VLOOKUP(A31,コード表２!$A$2:$B$294,2,FALSE),"")</f>
        <v>PL</v>
      </c>
      <c r="E31" s="23" t="str">
        <f>IFERROR(VLOOKUP(B31,コード表２!$E$2:$F$294,2,FALSE),"")</f>
        <v>JS</v>
      </c>
      <c r="F31" s="23" t="str">
        <f>IFERROR(VLOOKUP(C31,コード表２!$I$2:$J$294,2,FALSE),"")</f>
        <v>OO</v>
      </c>
      <c r="G31" s="23" t="str">
        <f t="shared" si="1"/>
        <v>PL-JS-</v>
      </c>
      <c r="H31" s="7" t="str">
        <f t="shared" si="2"/>
        <v>PL-JS-OO-</v>
      </c>
      <c r="I31" s="7">
        <f t="shared" si="0"/>
        <v>1</v>
      </c>
      <c r="K31" s="5"/>
      <c r="L31" s="3"/>
      <c r="M31" s="3"/>
      <c r="P31" s="3"/>
    </row>
    <row r="32" spans="1:18" s="4" customFormat="1" ht="18.600000000000001" customHeight="1" x14ac:dyDescent="0.45">
      <c r="A32" s="8" t="s">
        <v>48</v>
      </c>
      <c r="B32" s="8" t="s">
        <v>50</v>
      </c>
      <c r="C32" s="8" t="s">
        <v>63</v>
      </c>
      <c r="D32" s="23" t="str">
        <f>IFERROR(VLOOKUP(A32,コード表２!$A$2:$B$294,2,FALSE),"")</f>
        <v>PL</v>
      </c>
      <c r="E32" s="23" t="str">
        <f>IFERROR(VLOOKUP(B32,コード表２!$E$2:$F$294,2,FALSE),"")</f>
        <v>JS</v>
      </c>
      <c r="F32" s="23" t="str">
        <f>IFERROR(VLOOKUP(C32,コード表２!$I$2:$J$294,2,FALSE),"")</f>
        <v>FP</v>
      </c>
      <c r="G32" s="23" t="str">
        <f t="shared" si="1"/>
        <v>PL-JS-</v>
      </c>
      <c r="H32" s="7" t="str">
        <f t="shared" si="2"/>
        <v>PL-JS-FP-</v>
      </c>
      <c r="I32" s="7">
        <f t="shared" si="0"/>
        <v>1</v>
      </c>
      <c r="K32" s="3"/>
      <c r="L32" s="3"/>
      <c r="M32" s="3"/>
      <c r="P32" s="3"/>
      <c r="Q32" s="3"/>
      <c r="R32" s="3"/>
    </row>
    <row r="33" spans="1:18" s="4" customFormat="1" ht="18.600000000000001" customHeight="1" x14ac:dyDescent="0.45">
      <c r="A33" s="8" t="s">
        <v>48</v>
      </c>
      <c r="B33" s="8" t="s">
        <v>50</v>
      </c>
      <c r="C33" s="8" t="s">
        <v>64</v>
      </c>
      <c r="D33" s="23" t="str">
        <f>IFERROR(VLOOKUP(A33,コード表２!$A$2:$B$294,2,FALSE),"")</f>
        <v>PL</v>
      </c>
      <c r="E33" s="23" t="str">
        <f>IFERROR(VLOOKUP(B33,コード表２!$E$2:$F$294,2,FALSE),"")</f>
        <v>JS</v>
      </c>
      <c r="F33" s="23" t="str">
        <f>IFERROR(VLOOKUP(C33,コード表２!$I$2:$J$294,2,FALSE),"")</f>
        <v>PP</v>
      </c>
      <c r="G33" s="23" t="str">
        <f t="shared" si="1"/>
        <v>PL-JS-</v>
      </c>
      <c r="H33" s="7" t="str">
        <f t="shared" si="2"/>
        <v>PL-JS-PP-</v>
      </c>
      <c r="I33" s="7">
        <f t="shared" si="0"/>
        <v>1</v>
      </c>
      <c r="K33" s="3"/>
      <c r="L33" s="3"/>
      <c r="M33" s="3"/>
      <c r="N33" s="3"/>
      <c r="O33" s="3"/>
      <c r="P33" s="3"/>
      <c r="Q33" s="3"/>
      <c r="R33" s="3"/>
    </row>
    <row r="34" spans="1:18" ht="18.600000000000001" customHeight="1" x14ac:dyDescent="0.45">
      <c r="A34" s="8" t="s">
        <v>48</v>
      </c>
      <c r="B34" s="8" t="s">
        <v>50</v>
      </c>
      <c r="C34" s="8" t="s">
        <v>65</v>
      </c>
      <c r="D34" s="23" t="str">
        <f>IFERROR(VLOOKUP(A34,コード表２!$A$2:$B$294,2,FALSE),"")</f>
        <v>PL</v>
      </c>
      <c r="E34" s="23" t="str">
        <f>IFERROR(VLOOKUP(B34,コード表２!$E$2:$F$294,2,FALSE),"")</f>
        <v>JS</v>
      </c>
      <c r="F34" s="23" t="str">
        <f>IFERROR(VLOOKUP(C34,コード表２!$I$2:$J$294,2,FALSE),"")</f>
        <v>SQ</v>
      </c>
      <c r="G34" s="23" t="str">
        <f t="shared" si="1"/>
        <v>PL-JS-</v>
      </c>
      <c r="H34" s="7" t="str">
        <f t="shared" si="2"/>
        <v>PL-JS-SQ-</v>
      </c>
      <c r="I34" s="7">
        <f t="shared" si="0"/>
        <v>1</v>
      </c>
      <c r="K34" s="3"/>
      <c r="L34" s="3"/>
      <c r="M34" s="3"/>
      <c r="N34" s="3"/>
      <c r="O34" s="3"/>
      <c r="P34" s="3"/>
      <c r="Q34" s="3"/>
      <c r="R34" s="3"/>
    </row>
    <row r="35" spans="1:18" ht="18.600000000000001" customHeight="1" x14ac:dyDescent="0.45">
      <c r="A35" s="8" t="s">
        <v>48</v>
      </c>
      <c r="B35" s="8" t="s">
        <v>50</v>
      </c>
      <c r="C35" s="8" t="s">
        <v>66</v>
      </c>
      <c r="D35" s="23" t="str">
        <f>IFERROR(VLOOKUP(A35,コード表２!$A$2:$B$294,2,FALSE),"")</f>
        <v>PL</v>
      </c>
      <c r="E35" s="23" t="str">
        <f>IFERROR(VLOOKUP(B35,コード表２!$E$2:$F$294,2,FALSE),"")</f>
        <v>JS</v>
      </c>
      <c r="F35" s="23" t="str">
        <f>IFERROR(VLOOKUP(C35,コード表２!$I$2:$J$294,2,FALSE),"")</f>
        <v>OR</v>
      </c>
      <c r="G35" s="23" t="str">
        <f t="shared" si="1"/>
        <v>PL-JS-</v>
      </c>
      <c r="H35" s="7" t="str">
        <f t="shared" si="2"/>
        <v>PL-JS-OR-</v>
      </c>
      <c r="I35" s="7">
        <f t="shared" si="0"/>
        <v>1</v>
      </c>
      <c r="K35" s="3"/>
      <c r="L35" s="3"/>
      <c r="M35" s="3"/>
      <c r="N35" s="3"/>
      <c r="O35" s="3"/>
      <c r="P35" s="3"/>
      <c r="Q35" s="3"/>
      <c r="R35" s="3"/>
    </row>
    <row r="36" spans="1:18" ht="18.600000000000001" customHeight="1" x14ac:dyDescent="0.45">
      <c r="A36" s="8" t="s">
        <v>48</v>
      </c>
      <c r="B36" s="8" t="s">
        <v>50</v>
      </c>
      <c r="C36" s="8" t="s">
        <v>67</v>
      </c>
      <c r="D36" s="23" t="str">
        <f>IFERROR(VLOOKUP(A36,コード表２!$A$2:$B$294,2,FALSE),"")</f>
        <v>PL</v>
      </c>
      <c r="E36" s="23" t="str">
        <f>IFERROR(VLOOKUP(B36,コード表２!$E$2:$F$294,2,FALSE),"")</f>
        <v>JS</v>
      </c>
      <c r="F36" s="23" t="str">
        <f>IFERROR(VLOOKUP(C36,コード表２!$I$2:$J$294,2,FALSE),"")</f>
        <v>UT</v>
      </c>
      <c r="G36" s="23" t="str">
        <f t="shared" si="1"/>
        <v>PL-JS-</v>
      </c>
      <c r="H36" s="7" t="str">
        <f t="shared" si="2"/>
        <v>PL-JS-UT-</v>
      </c>
      <c r="I36" s="7">
        <f t="shared" si="0"/>
        <v>1</v>
      </c>
      <c r="K36" s="3"/>
      <c r="L36" s="3"/>
      <c r="M36" s="3"/>
      <c r="N36" s="3"/>
      <c r="O36" s="3"/>
      <c r="P36" s="3"/>
      <c r="Q36" s="3"/>
      <c r="R36" s="3"/>
    </row>
    <row r="37" spans="1:18" ht="18.600000000000001" customHeight="1" x14ac:dyDescent="0.45">
      <c r="A37" s="8" t="s">
        <v>48</v>
      </c>
      <c r="B37" s="8" t="s">
        <v>50</v>
      </c>
      <c r="C37" s="8" t="s">
        <v>68</v>
      </c>
      <c r="D37" s="23" t="str">
        <f>IFERROR(VLOOKUP(A37,コード表２!$A$2:$B$294,2,FALSE),"")</f>
        <v>PL</v>
      </c>
      <c r="E37" s="23" t="str">
        <f>IFERROR(VLOOKUP(B37,コード表２!$E$2:$F$294,2,FALSE),"")</f>
        <v>JS</v>
      </c>
      <c r="F37" s="23" t="str">
        <f>IFERROR(VLOOKUP(C37,コード表２!$I$2:$J$294,2,FALSE),"")</f>
        <v>IT</v>
      </c>
      <c r="G37" s="23" t="str">
        <f t="shared" si="1"/>
        <v>PL-JS-</v>
      </c>
      <c r="H37" s="7" t="str">
        <f t="shared" si="2"/>
        <v>PL-JS-IT-</v>
      </c>
      <c r="I37" s="7">
        <f t="shared" si="0"/>
        <v>1</v>
      </c>
      <c r="K37" s="3"/>
      <c r="L37" s="3"/>
      <c r="M37" s="3"/>
      <c r="N37" s="3"/>
      <c r="O37" s="3"/>
      <c r="P37" s="3"/>
      <c r="Q37" s="3"/>
      <c r="R37" s="3"/>
    </row>
    <row r="38" spans="1:18" ht="18.600000000000001" customHeight="1" x14ac:dyDescent="0.45">
      <c r="A38" s="8" t="s">
        <v>48</v>
      </c>
      <c r="B38" s="8" t="s">
        <v>50</v>
      </c>
      <c r="C38" s="8" t="s">
        <v>69</v>
      </c>
      <c r="D38" s="23" t="str">
        <f>IFERROR(VLOOKUP(A38,コード表２!$A$2:$B$294,2,FALSE),"")</f>
        <v>PL</v>
      </c>
      <c r="E38" s="23" t="str">
        <f>IFERROR(VLOOKUP(B38,コード表２!$E$2:$F$294,2,FALSE),"")</f>
        <v>JS</v>
      </c>
      <c r="F38" s="23" t="str">
        <f>IFERROR(VLOOKUP(C38,コード表２!$I$2:$J$294,2,FALSE),"")</f>
        <v>MK</v>
      </c>
      <c r="G38" s="23" t="str">
        <f t="shared" si="1"/>
        <v>PL-JS-</v>
      </c>
      <c r="H38" s="7" t="str">
        <f t="shared" si="2"/>
        <v>PL-JS-MK-</v>
      </c>
      <c r="I38" s="7">
        <f t="shared" si="0"/>
        <v>1</v>
      </c>
    </row>
    <row r="39" spans="1:18" ht="18.600000000000001" customHeight="1" x14ac:dyDescent="0.45">
      <c r="A39" s="8" t="s">
        <v>48</v>
      </c>
      <c r="B39" s="8" t="s">
        <v>50</v>
      </c>
      <c r="C39" s="8" t="s">
        <v>70</v>
      </c>
      <c r="D39" s="23" t="str">
        <f>IFERROR(VLOOKUP(A39,コード表２!$A$2:$B$294,2,FALSE),"")</f>
        <v>PL</v>
      </c>
      <c r="E39" s="23" t="str">
        <f>IFERROR(VLOOKUP(B39,コード表２!$E$2:$F$294,2,FALSE),"")</f>
        <v>JS</v>
      </c>
      <c r="F39" s="23" t="str">
        <f>IFERROR(VLOOKUP(C39,コード表２!$I$2:$J$294,2,FALSE),"")</f>
        <v>OP</v>
      </c>
      <c r="G39" s="23" t="str">
        <f t="shared" si="1"/>
        <v>PL-JS-</v>
      </c>
      <c r="H39" s="7" t="str">
        <f t="shared" si="2"/>
        <v>PL-JS-OP-</v>
      </c>
      <c r="I39" s="7">
        <f t="shared" si="0"/>
        <v>1</v>
      </c>
    </row>
    <row r="40" spans="1:18" ht="18.600000000000001" customHeight="1" x14ac:dyDescent="0.45">
      <c r="A40" s="8" t="s">
        <v>48</v>
      </c>
      <c r="B40" s="8" t="s">
        <v>50</v>
      </c>
      <c r="C40" s="8" t="s">
        <v>71</v>
      </c>
      <c r="D40" s="23" t="str">
        <f>IFERROR(VLOOKUP(A40,コード表２!$A$2:$B$294,2,FALSE),"")</f>
        <v>PL</v>
      </c>
      <c r="E40" s="23" t="str">
        <f>IFERROR(VLOOKUP(B40,コード表２!$E$2:$F$294,2,FALSE),"")</f>
        <v>JS</v>
      </c>
      <c r="F40" s="23" t="str">
        <f>IFERROR(VLOOKUP(C40,コード表２!$I$2:$J$294,2,FALSE),"")</f>
        <v>MM</v>
      </c>
      <c r="G40" s="23" t="str">
        <f t="shared" si="1"/>
        <v>PL-JS-</v>
      </c>
      <c r="H40" s="7" t="str">
        <f t="shared" si="2"/>
        <v>PL-JS-MM-</v>
      </c>
      <c r="I40" s="7">
        <f t="shared" si="0"/>
        <v>1</v>
      </c>
    </row>
    <row r="41" spans="1:18" ht="18.600000000000001" customHeight="1" x14ac:dyDescent="0.45">
      <c r="A41" s="8" t="s">
        <v>48</v>
      </c>
      <c r="B41" s="8" t="s">
        <v>50</v>
      </c>
      <c r="C41" s="8" t="s">
        <v>72</v>
      </c>
      <c r="D41" s="23" t="str">
        <f>IFERROR(VLOOKUP(A41,コード表２!$A$2:$B$294,2,FALSE),"")</f>
        <v>PL</v>
      </c>
      <c r="E41" s="23" t="str">
        <f>IFERROR(VLOOKUP(B41,コード表２!$E$2:$F$294,2,FALSE),"")</f>
        <v>JS</v>
      </c>
      <c r="F41" s="23" t="str">
        <f>IFERROR(VLOOKUP(C41,コード表２!$I$2:$J$294,2,FALSE),"")</f>
        <v>TM</v>
      </c>
      <c r="G41" s="23" t="str">
        <f t="shared" si="1"/>
        <v>PL-JS-</v>
      </c>
      <c r="H41" s="7" t="str">
        <f t="shared" si="2"/>
        <v>PL-JS-TM-</v>
      </c>
      <c r="I41" s="7">
        <f t="shared" si="0"/>
        <v>1</v>
      </c>
    </row>
    <row r="42" spans="1:18" ht="18.600000000000001" customHeight="1" x14ac:dyDescent="0.45">
      <c r="A42" s="8" t="s">
        <v>48</v>
      </c>
      <c r="B42" s="8" t="s">
        <v>50</v>
      </c>
      <c r="C42" s="8" t="s">
        <v>73</v>
      </c>
      <c r="D42" s="23" t="str">
        <f>IFERROR(VLOOKUP(A42,コード表２!$A$2:$B$294,2,FALSE),"")</f>
        <v>PL</v>
      </c>
      <c r="E42" s="23" t="str">
        <f>IFERROR(VLOOKUP(B42,コード表２!$E$2:$F$294,2,FALSE),"")</f>
        <v>JS</v>
      </c>
      <c r="F42" s="23" t="str">
        <f>IFERROR(VLOOKUP(C42,コード表２!$I$2:$J$294,2,FALSE),"")</f>
        <v>EX</v>
      </c>
      <c r="G42" s="23" t="str">
        <f t="shared" si="1"/>
        <v>PL-JS-</v>
      </c>
      <c r="H42" s="7" t="str">
        <f t="shared" si="2"/>
        <v>PL-JS-EX-</v>
      </c>
      <c r="I42" s="7">
        <f t="shared" si="0"/>
        <v>1</v>
      </c>
    </row>
    <row r="43" spans="1:18" ht="18.600000000000001" customHeight="1" x14ac:dyDescent="0.45">
      <c r="A43" s="8" t="s">
        <v>48</v>
      </c>
      <c r="B43" s="8" t="s">
        <v>50</v>
      </c>
      <c r="C43" s="8" t="s">
        <v>74</v>
      </c>
      <c r="D43" s="23" t="str">
        <f>IFERROR(VLOOKUP(A43,コード表２!$A$2:$B$294,2,FALSE),"")</f>
        <v>PL</v>
      </c>
      <c r="E43" s="23" t="str">
        <f>IFERROR(VLOOKUP(B43,コード表２!$E$2:$F$294,2,FALSE),"")</f>
        <v>JS</v>
      </c>
      <c r="F43" s="23" t="str">
        <f>IFERROR(VLOOKUP(C43,コード表２!$I$2:$J$294,2,FALSE),"")</f>
        <v>LG</v>
      </c>
      <c r="G43" s="23" t="str">
        <f t="shared" si="1"/>
        <v>PL-JS-</v>
      </c>
      <c r="H43" s="7" t="str">
        <f t="shared" si="2"/>
        <v>PL-JS-LG-</v>
      </c>
      <c r="I43" s="7">
        <f t="shared" si="0"/>
        <v>1</v>
      </c>
    </row>
    <row r="44" spans="1:18" ht="18.600000000000001" customHeight="1" x14ac:dyDescent="0.45">
      <c r="A44" s="8" t="s">
        <v>337</v>
      </c>
      <c r="B44" s="8" t="s">
        <v>223</v>
      </c>
      <c r="C44" s="8" t="s">
        <v>293</v>
      </c>
      <c r="D44" s="23" t="str">
        <f>IFERROR(VLOOKUP(A44,コード表２!$A$2:$B$294,2,FALSE),"")</f>
        <v>TC</v>
      </c>
      <c r="E44" s="23" t="str">
        <f>IFERROR(VLOOKUP(B44,コード表２!$E$2:$F$294,2,FALSE),"")</f>
        <v>BT</v>
      </c>
      <c r="F44" s="23" t="str">
        <f>IFERROR(VLOOKUP(C44,コード表２!$I$2:$J$294,2,FALSE),"")</f>
        <v>DM</v>
      </c>
      <c r="G44" s="23" t="str">
        <f t="shared" si="1"/>
        <v>TC-BT-</v>
      </c>
      <c r="H44" s="7" t="str">
        <f t="shared" si="2"/>
        <v>TC-BT-DM-</v>
      </c>
      <c r="I44" s="7">
        <f t="shared" si="0"/>
        <v>1</v>
      </c>
    </row>
    <row r="45" spans="1:18" ht="18.600000000000001" customHeight="1" x14ac:dyDescent="0.45">
      <c r="A45" s="8" t="s">
        <v>337</v>
      </c>
      <c r="B45" s="8" t="s">
        <v>223</v>
      </c>
      <c r="C45" s="8" t="s">
        <v>294</v>
      </c>
      <c r="D45" s="23" t="str">
        <f>IFERROR(VLOOKUP(A45,コード表２!$A$2:$B$294,2,FALSE),"")</f>
        <v>TC</v>
      </c>
      <c r="E45" s="23" t="str">
        <f>IFERROR(VLOOKUP(B45,コード表２!$E$2:$F$294,2,FALSE),"")</f>
        <v>BT</v>
      </c>
      <c r="F45" s="23" t="str">
        <f>IFERROR(VLOOKUP(C45,コード表２!$I$2:$J$294,2,FALSE),"")</f>
        <v>AM</v>
      </c>
      <c r="G45" s="23" t="str">
        <f t="shared" si="1"/>
        <v>TC-BT-</v>
      </c>
      <c r="H45" s="7" t="str">
        <f t="shared" si="2"/>
        <v>TC-BT-AM-</v>
      </c>
      <c r="I45" s="7">
        <f t="shared" si="0"/>
        <v>1</v>
      </c>
    </row>
    <row r="46" spans="1:18" ht="18.600000000000001" customHeight="1" x14ac:dyDescent="0.45">
      <c r="A46" s="8" t="s">
        <v>337</v>
      </c>
      <c r="B46" s="8" t="s">
        <v>223</v>
      </c>
      <c r="C46" s="8" t="s">
        <v>295</v>
      </c>
      <c r="D46" s="23" t="str">
        <f>IFERROR(VLOOKUP(A46,コード表２!$A$2:$B$294,2,FALSE),"")</f>
        <v>TC</v>
      </c>
      <c r="E46" s="23" t="str">
        <f>IFERROR(VLOOKUP(B46,コード表２!$E$2:$F$294,2,FALSE),"")</f>
        <v>BT</v>
      </c>
      <c r="F46" s="23" t="str">
        <f>IFERROR(VLOOKUP(C46,コード表２!$I$2:$J$294,2,FALSE),"")</f>
        <v>IT</v>
      </c>
      <c r="G46" s="23" t="str">
        <f t="shared" si="1"/>
        <v>TC-BT-</v>
      </c>
      <c r="H46" s="7" t="str">
        <f t="shared" si="2"/>
        <v>TC-BT-IT-</v>
      </c>
      <c r="I46" s="7">
        <f t="shared" si="0"/>
        <v>1</v>
      </c>
    </row>
    <row r="47" spans="1:18" ht="18.600000000000001" customHeight="1" x14ac:dyDescent="0.45">
      <c r="A47" s="8" t="s">
        <v>337</v>
      </c>
      <c r="B47" s="8" t="s">
        <v>223</v>
      </c>
      <c r="C47" s="8" t="s">
        <v>296</v>
      </c>
      <c r="D47" s="23" t="str">
        <f>IFERROR(VLOOKUP(A47,コード表２!$A$2:$B$294,2,FALSE),"")</f>
        <v>TC</v>
      </c>
      <c r="E47" s="23" t="str">
        <f>IFERROR(VLOOKUP(B47,コード表２!$E$2:$F$294,2,FALSE),"")</f>
        <v>BT</v>
      </c>
      <c r="F47" s="23" t="str">
        <f>IFERROR(VLOOKUP(C47,コード表２!$I$2:$J$294,2,FALSE),"")</f>
        <v>CT</v>
      </c>
      <c r="G47" s="23" t="str">
        <f t="shared" si="1"/>
        <v>TC-BT-</v>
      </c>
      <c r="H47" s="7" t="str">
        <f t="shared" si="2"/>
        <v>TC-BT-CT-</v>
      </c>
      <c r="I47" s="7">
        <f t="shared" si="0"/>
        <v>1</v>
      </c>
    </row>
    <row r="48" spans="1:18" ht="18.600000000000001" customHeight="1" x14ac:dyDescent="0.45">
      <c r="A48" s="8" t="s">
        <v>337</v>
      </c>
      <c r="B48" s="8" t="s">
        <v>223</v>
      </c>
      <c r="C48" s="8" t="s">
        <v>297</v>
      </c>
      <c r="D48" s="23" t="str">
        <f>IFERROR(VLOOKUP(A48,コード表２!$A$2:$B$294,2,FALSE),"")</f>
        <v>TC</v>
      </c>
      <c r="E48" s="23" t="str">
        <f>IFERROR(VLOOKUP(B48,コード表２!$E$2:$F$294,2,FALSE),"")</f>
        <v>BT</v>
      </c>
      <c r="F48" s="23" t="str">
        <f>IFERROR(VLOOKUP(C48,コード表２!$I$2:$J$294,2,FALSE),"")</f>
        <v>MC</v>
      </c>
      <c r="G48" s="23" t="str">
        <f t="shared" si="1"/>
        <v>TC-BT-</v>
      </c>
      <c r="H48" s="7" t="str">
        <f t="shared" si="2"/>
        <v>TC-BT-MC-</v>
      </c>
      <c r="I48" s="7">
        <f t="shared" si="0"/>
        <v>1</v>
      </c>
    </row>
    <row r="49" spans="1:9" ht="18.600000000000001" customHeight="1" x14ac:dyDescent="0.45">
      <c r="A49" s="8" t="s">
        <v>337</v>
      </c>
      <c r="B49" s="8" t="s">
        <v>223</v>
      </c>
      <c r="C49" s="8" t="s">
        <v>298</v>
      </c>
      <c r="D49" s="23" t="str">
        <f>IFERROR(VLOOKUP(A49,コード表２!$A$2:$B$294,2,FALSE),"")</f>
        <v>TC</v>
      </c>
      <c r="E49" s="23" t="str">
        <f>IFERROR(VLOOKUP(B49,コード表２!$E$2:$F$294,2,FALSE),"")</f>
        <v>BT</v>
      </c>
      <c r="F49" s="23" t="str">
        <f>IFERROR(VLOOKUP(C49,コード表２!$I$2:$J$294,2,FALSE),"")</f>
        <v>AP</v>
      </c>
      <c r="G49" s="23" t="str">
        <f t="shared" si="1"/>
        <v>TC-BT-</v>
      </c>
      <c r="H49" s="7" t="str">
        <f t="shared" si="2"/>
        <v>TC-BT-AP-</v>
      </c>
      <c r="I49" s="7">
        <f t="shared" si="0"/>
        <v>1</v>
      </c>
    </row>
    <row r="50" spans="1:9" ht="18.600000000000001" customHeight="1" x14ac:dyDescent="0.45">
      <c r="A50" s="8" t="s">
        <v>337</v>
      </c>
      <c r="B50" s="8" t="s">
        <v>223</v>
      </c>
      <c r="C50" s="8" t="s">
        <v>299</v>
      </c>
      <c r="D50" s="23" t="str">
        <f>IFERROR(VLOOKUP(A50,コード表２!$A$2:$B$294,2,FALSE),"")</f>
        <v>TC</v>
      </c>
      <c r="E50" s="23" t="str">
        <f>IFERROR(VLOOKUP(B50,コード表２!$E$2:$F$294,2,FALSE),"")</f>
        <v>BT</v>
      </c>
      <c r="F50" s="23" t="str">
        <f>IFERROR(VLOOKUP(C50,コード表２!$I$2:$J$294,2,FALSE),"")</f>
        <v>DS</v>
      </c>
      <c r="G50" s="23" t="str">
        <f t="shared" si="1"/>
        <v>TC-BT-</v>
      </c>
      <c r="H50" s="7" t="str">
        <f t="shared" si="2"/>
        <v>TC-BT-DS-</v>
      </c>
      <c r="I50" s="7">
        <f t="shared" si="0"/>
        <v>1</v>
      </c>
    </row>
    <row r="51" spans="1:9" ht="18.600000000000001" customHeight="1" x14ac:dyDescent="0.45">
      <c r="A51" s="8" t="s">
        <v>337</v>
      </c>
      <c r="B51" s="8" t="s">
        <v>223</v>
      </c>
      <c r="C51" s="8" t="s">
        <v>300</v>
      </c>
      <c r="D51" s="23" t="str">
        <f>IFERROR(VLOOKUP(A51,コード表２!$A$2:$B$294,2,FALSE),"")</f>
        <v>TC</v>
      </c>
      <c r="E51" s="23" t="str">
        <f>IFERROR(VLOOKUP(B51,コード表２!$E$2:$F$294,2,FALSE),"")</f>
        <v>BT</v>
      </c>
      <c r="F51" s="23" t="str">
        <f>IFERROR(VLOOKUP(C51,コード表２!$I$2:$J$294,2,FALSE),"")</f>
        <v>AL</v>
      </c>
      <c r="G51" s="23" t="str">
        <f t="shared" si="1"/>
        <v>TC-BT-</v>
      </c>
      <c r="H51" s="7" t="str">
        <f t="shared" si="2"/>
        <v>TC-BT-AL-</v>
      </c>
      <c r="I51" s="7">
        <f t="shared" si="0"/>
        <v>1</v>
      </c>
    </row>
    <row r="52" spans="1:9" ht="18.600000000000001" customHeight="1" x14ac:dyDescent="0.45">
      <c r="A52" s="8" t="s">
        <v>337</v>
      </c>
      <c r="B52" s="8" t="s">
        <v>223</v>
      </c>
      <c r="C52" s="8" t="s">
        <v>301</v>
      </c>
      <c r="D52" s="23" t="str">
        <f>IFERROR(VLOOKUP(A52,コード表２!$A$2:$B$294,2,FALSE),"")</f>
        <v>TC</v>
      </c>
      <c r="E52" s="23" t="str">
        <f>IFERROR(VLOOKUP(B52,コード表２!$E$2:$F$294,2,FALSE),"")</f>
        <v>BT</v>
      </c>
      <c r="F52" s="23" t="str">
        <f>IFERROR(VLOOKUP(C52,コード表２!$I$2:$J$294,2,FALSE),"")</f>
        <v>PG</v>
      </c>
      <c r="G52" s="23" t="str">
        <f t="shared" si="1"/>
        <v>TC-BT-</v>
      </c>
      <c r="H52" s="7" t="str">
        <f t="shared" si="2"/>
        <v>TC-BT-PG-</v>
      </c>
      <c r="I52" s="7">
        <f t="shared" si="0"/>
        <v>1</v>
      </c>
    </row>
    <row r="53" spans="1:9" ht="18.600000000000001" customHeight="1" x14ac:dyDescent="0.45">
      <c r="A53" s="8" t="s">
        <v>337</v>
      </c>
      <c r="B53" s="8" t="s">
        <v>223</v>
      </c>
      <c r="C53" s="8" t="s">
        <v>302</v>
      </c>
      <c r="D53" s="23" t="str">
        <f>IFERROR(VLOOKUP(A53,コード表２!$A$2:$B$294,2,FALSE),"")</f>
        <v>TC</v>
      </c>
      <c r="E53" s="23" t="str">
        <f>IFERROR(VLOOKUP(B53,コード表２!$E$2:$F$294,2,FALSE),"")</f>
        <v>BT</v>
      </c>
      <c r="F53" s="23" t="str">
        <f>IFERROR(VLOOKUP(C53,コード表２!$I$2:$J$294,2,FALSE),"")</f>
        <v>PL</v>
      </c>
      <c r="G53" s="23" t="str">
        <f t="shared" si="1"/>
        <v>TC-BT-</v>
      </c>
      <c r="H53" s="7" t="str">
        <f t="shared" si="2"/>
        <v>TC-BT-PL-</v>
      </c>
      <c r="I53" s="7">
        <f t="shared" si="0"/>
        <v>1</v>
      </c>
    </row>
    <row r="54" spans="1:9" ht="18.600000000000001" customHeight="1" x14ac:dyDescent="0.45">
      <c r="A54" s="8" t="s">
        <v>337</v>
      </c>
      <c r="B54" s="8" t="s">
        <v>223</v>
      </c>
      <c r="C54" s="8" t="s">
        <v>303</v>
      </c>
      <c r="D54" s="23" t="str">
        <f>IFERROR(VLOOKUP(A54,コード表２!$A$2:$B$294,2,FALSE),"")</f>
        <v>TC</v>
      </c>
      <c r="E54" s="23" t="str">
        <f>IFERROR(VLOOKUP(B54,コード表２!$E$2:$F$294,2,FALSE),"")</f>
        <v>BT</v>
      </c>
      <c r="F54" s="23" t="str">
        <f>IFERROR(VLOOKUP(C54,コード表２!$I$2:$J$294,2,FALSE),"")</f>
        <v>OL</v>
      </c>
      <c r="G54" s="23" t="str">
        <f t="shared" si="1"/>
        <v>TC-BT-</v>
      </c>
      <c r="H54" s="7" t="str">
        <f t="shared" si="2"/>
        <v>TC-BT-OL-</v>
      </c>
      <c r="I54" s="7">
        <f t="shared" si="0"/>
        <v>1</v>
      </c>
    </row>
    <row r="55" spans="1:9" ht="18.600000000000001" customHeight="1" x14ac:dyDescent="0.45">
      <c r="A55" s="8" t="s">
        <v>337</v>
      </c>
      <c r="B55" s="8" t="s">
        <v>224</v>
      </c>
      <c r="C55" s="8" t="s">
        <v>86</v>
      </c>
      <c r="D55" s="23" t="str">
        <f>IFERROR(VLOOKUP(A55,コード表２!$A$2:$B$294,2,FALSE),"")</f>
        <v>TC</v>
      </c>
      <c r="E55" s="23" t="str">
        <f>IFERROR(VLOOKUP(B55,コード表２!$E$2:$F$294,2,FALSE),"")</f>
        <v>CS</v>
      </c>
      <c r="F55" s="23" t="str">
        <f>IFERROR(VLOOKUP(C55,コード表２!$I$2:$J$294,2,FALSE),"")</f>
        <v>CH</v>
      </c>
      <c r="G55" s="23" t="str">
        <f t="shared" si="1"/>
        <v>TC-CS-</v>
      </c>
      <c r="H55" s="7" t="str">
        <f t="shared" si="2"/>
        <v>TC-CS-CH-</v>
      </c>
      <c r="I55" s="7">
        <f t="shared" si="0"/>
        <v>1</v>
      </c>
    </row>
    <row r="56" spans="1:9" ht="18.600000000000001" customHeight="1" x14ac:dyDescent="0.45">
      <c r="A56" s="8" t="s">
        <v>337</v>
      </c>
      <c r="B56" s="8" t="s">
        <v>224</v>
      </c>
      <c r="C56" s="8" t="s">
        <v>87</v>
      </c>
      <c r="D56" s="23" t="str">
        <f>IFERROR(VLOOKUP(A56,コード表２!$A$2:$B$294,2,FALSE),"")</f>
        <v>TC</v>
      </c>
      <c r="E56" s="23" t="str">
        <f>IFERROR(VLOOKUP(B56,コード表２!$E$2:$F$294,2,FALSE),"")</f>
        <v>CS</v>
      </c>
      <c r="F56" s="23" t="str">
        <f>IFERROR(VLOOKUP(C56,コード表２!$I$2:$J$294,2,FALSE),"")</f>
        <v>PR</v>
      </c>
      <c r="G56" s="23" t="str">
        <f t="shared" si="1"/>
        <v>TC-CS-</v>
      </c>
      <c r="H56" s="7" t="str">
        <f t="shared" si="2"/>
        <v>TC-CS-PR-</v>
      </c>
      <c r="I56" s="7">
        <f t="shared" si="0"/>
        <v>1</v>
      </c>
    </row>
    <row r="57" spans="1:9" ht="18.600000000000001" customHeight="1" x14ac:dyDescent="0.45">
      <c r="A57" s="8" t="s">
        <v>337</v>
      </c>
      <c r="B57" s="8" t="s">
        <v>224</v>
      </c>
      <c r="C57" s="8" t="s">
        <v>88</v>
      </c>
      <c r="D57" s="23" t="str">
        <f>IFERROR(VLOOKUP(A57,コード表２!$A$2:$B$294,2,FALSE),"")</f>
        <v>TC</v>
      </c>
      <c r="E57" s="23" t="str">
        <f>IFERROR(VLOOKUP(B57,コード表２!$E$2:$F$294,2,FALSE),"")</f>
        <v>CS</v>
      </c>
      <c r="F57" s="23" t="str">
        <f>IFERROR(VLOOKUP(C57,コード表２!$I$2:$J$294,2,FALSE),"")</f>
        <v>ME</v>
      </c>
      <c r="G57" s="23" t="str">
        <f t="shared" si="1"/>
        <v>TC-CS-</v>
      </c>
      <c r="H57" s="7" t="str">
        <f t="shared" si="2"/>
        <v>TC-CS-ME-</v>
      </c>
      <c r="I57" s="7">
        <f t="shared" si="0"/>
        <v>1</v>
      </c>
    </row>
    <row r="58" spans="1:9" ht="18.600000000000001" customHeight="1" x14ac:dyDescent="0.45">
      <c r="A58" s="8" t="s">
        <v>337</v>
      </c>
      <c r="B58" s="8" t="s">
        <v>224</v>
      </c>
      <c r="C58" s="8" t="s">
        <v>89</v>
      </c>
      <c r="D58" s="23" t="str">
        <f>IFERROR(VLOOKUP(A58,コード表２!$A$2:$B$294,2,FALSE),"")</f>
        <v>TC</v>
      </c>
      <c r="E58" s="23" t="str">
        <f>IFERROR(VLOOKUP(B58,コード表２!$E$2:$F$294,2,FALSE),"")</f>
        <v>CS</v>
      </c>
      <c r="F58" s="23" t="str">
        <f>IFERROR(VLOOKUP(C58,コード表２!$I$2:$J$294,2,FALSE),"")</f>
        <v>BU</v>
      </c>
      <c r="G58" s="23" t="str">
        <f t="shared" si="1"/>
        <v>TC-CS-</v>
      </c>
      <c r="H58" s="7" t="str">
        <f t="shared" si="2"/>
        <v>TC-CS-BU-</v>
      </c>
      <c r="I58" s="7">
        <f t="shared" si="0"/>
        <v>1</v>
      </c>
    </row>
    <row r="59" spans="1:9" ht="18.600000000000001" customHeight="1" x14ac:dyDescent="0.45">
      <c r="A59" s="8" t="s">
        <v>337</v>
      </c>
      <c r="B59" s="8" t="s">
        <v>224</v>
      </c>
      <c r="C59" s="8" t="s">
        <v>90</v>
      </c>
      <c r="D59" s="23" t="str">
        <f>IFERROR(VLOOKUP(A59,コード表２!$A$2:$B$294,2,FALSE),"")</f>
        <v>TC</v>
      </c>
      <c r="E59" s="23" t="str">
        <f>IFERROR(VLOOKUP(B59,コード表２!$E$2:$F$294,2,FALSE),"")</f>
        <v>CS</v>
      </c>
      <c r="F59" s="23" t="str">
        <f>IFERROR(VLOOKUP(C59,コード表２!$I$2:$J$294,2,FALSE),"")</f>
        <v>ID</v>
      </c>
      <c r="G59" s="23" t="str">
        <f t="shared" si="1"/>
        <v>TC-CS-</v>
      </c>
      <c r="H59" s="7" t="str">
        <f t="shared" si="2"/>
        <v>TC-CS-ID-</v>
      </c>
      <c r="I59" s="7">
        <f t="shared" si="0"/>
        <v>1</v>
      </c>
    </row>
    <row r="60" spans="1:9" ht="18.600000000000001" customHeight="1" x14ac:dyDescent="0.45">
      <c r="A60" s="8" t="s">
        <v>337</v>
      </c>
      <c r="B60" s="8" t="s">
        <v>224</v>
      </c>
      <c r="C60" s="8" t="s">
        <v>91</v>
      </c>
      <c r="D60" s="23" t="str">
        <f>IFERROR(VLOOKUP(A60,コード表２!$A$2:$B$294,2,FALSE),"")</f>
        <v>TC</v>
      </c>
      <c r="E60" s="23" t="str">
        <f>IFERROR(VLOOKUP(B60,コード表２!$E$2:$F$294,2,FALSE),"")</f>
        <v>CS</v>
      </c>
      <c r="F60" s="23" t="str">
        <f>IFERROR(VLOOKUP(C60,コード表２!$I$2:$J$294,2,FALSE),"")</f>
        <v>IO</v>
      </c>
      <c r="G60" s="23" t="str">
        <f t="shared" si="1"/>
        <v>TC-CS-</v>
      </c>
      <c r="H60" s="7" t="str">
        <f t="shared" si="2"/>
        <v>TC-CS-IO-</v>
      </c>
      <c r="I60" s="7">
        <f t="shared" si="0"/>
        <v>1</v>
      </c>
    </row>
    <row r="61" spans="1:9" ht="18.600000000000001" customHeight="1" x14ac:dyDescent="0.45">
      <c r="A61" s="8" t="s">
        <v>337</v>
      </c>
      <c r="B61" s="8" t="s">
        <v>224</v>
      </c>
      <c r="C61" s="8" t="s">
        <v>92</v>
      </c>
      <c r="D61" s="23" t="str">
        <f>IFERROR(VLOOKUP(A61,コード表２!$A$2:$B$294,2,FALSE),"")</f>
        <v>TC</v>
      </c>
      <c r="E61" s="23" t="str">
        <f>IFERROR(VLOOKUP(B61,コード表２!$E$2:$F$294,2,FALSE),"")</f>
        <v>CS</v>
      </c>
      <c r="F61" s="23" t="str">
        <f>IFERROR(VLOOKUP(C61,コード表２!$I$2:$J$294,2,FALSE),"")</f>
        <v>SY</v>
      </c>
      <c r="G61" s="23" t="str">
        <f t="shared" si="1"/>
        <v>TC-CS-</v>
      </c>
      <c r="H61" s="7" t="str">
        <f t="shared" si="2"/>
        <v>TC-CS-SY-</v>
      </c>
      <c r="I61" s="7">
        <f t="shared" si="0"/>
        <v>1</v>
      </c>
    </row>
    <row r="62" spans="1:9" ht="18.600000000000001" customHeight="1" x14ac:dyDescent="0.45">
      <c r="A62" s="8" t="s">
        <v>337</v>
      </c>
      <c r="B62" s="8" t="s">
        <v>224</v>
      </c>
      <c r="C62" s="8" t="s">
        <v>93</v>
      </c>
      <c r="D62" s="23" t="str">
        <f>IFERROR(VLOOKUP(A62,コード表２!$A$2:$B$294,2,FALSE),"")</f>
        <v>TC</v>
      </c>
      <c r="E62" s="23" t="str">
        <f>IFERROR(VLOOKUP(B62,コード表２!$E$2:$F$294,2,FALSE),"")</f>
        <v>CS</v>
      </c>
      <c r="F62" s="23" t="str">
        <f>IFERROR(VLOOKUP(C62,コード表２!$I$2:$J$294,2,FALSE),"")</f>
        <v>SC</v>
      </c>
      <c r="G62" s="23" t="str">
        <f t="shared" si="1"/>
        <v>TC-CS-</v>
      </c>
      <c r="H62" s="7" t="str">
        <f t="shared" si="2"/>
        <v>TC-CS-SC-</v>
      </c>
      <c r="I62" s="7">
        <f t="shared" si="0"/>
        <v>1</v>
      </c>
    </row>
    <row r="63" spans="1:9" ht="18.600000000000001" customHeight="1" x14ac:dyDescent="0.45">
      <c r="A63" s="8" t="s">
        <v>337</v>
      </c>
      <c r="B63" s="8" t="s">
        <v>224</v>
      </c>
      <c r="C63" s="8" t="s">
        <v>94</v>
      </c>
      <c r="D63" s="23" t="str">
        <f>IFERROR(VLOOKUP(A63,コード表２!$A$2:$B$294,2,FALSE),"")</f>
        <v>TC</v>
      </c>
      <c r="E63" s="23" t="str">
        <f>IFERROR(VLOOKUP(B63,コード表２!$E$2:$F$294,2,FALSE),"")</f>
        <v>CS</v>
      </c>
      <c r="F63" s="23" t="str">
        <f>IFERROR(VLOOKUP(C63,コード表２!$I$2:$J$294,2,FALSE),"")</f>
        <v>EM</v>
      </c>
      <c r="G63" s="23" t="str">
        <f t="shared" si="1"/>
        <v>TC-CS-</v>
      </c>
      <c r="H63" s="7" t="str">
        <f t="shared" si="2"/>
        <v>TC-CS-EM-</v>
      </c>
      <c r="I63" s="7">
        <f t="shared" si="0"/>
        <v>1</v>
      </c>
    </row>
    <row r="64" spans="1:9" ht="18.600000000000001" customHeight="1" x14ac:dyDescent="0.45">
      <c r="A64" s="8" t="s">
        <v>337</v>
      </c>
      <c r="B64" s="8" t="s">
        <v>224</v>
      </c>
      <c r="C64" s="8" t="s">
        <v>95</v>
      </c>
      <c r="D64" s="23" t="str">
        <f>IFERROR(VLOOKUP(A64,コード表２!$A$2:$B$294,2,FALSE),"")</f>
        <v>TC</v>
      </c>
      <c r="E64" s="23" t="str">
        <f>IFERROR(VLOOKUP(B64,コード表２!$E$2:$F$294,2,FALSE),"")</f>
        <v>CS</v>
      </c>
      <c r="F64" s="23" t="str">
        <f>IFERROR(VLOOKUP(C64,コード表２!$I$2:$J$294,2,FALSE),"")</f>
        <v>SW</v>
      </c>
      <c r="G64" s="23" t="str">
        <f t="shared" si="1"/>
        <v>TC-CS-</v>
      </c>
      <c r="H64" s="7" t="str">
        <f t="shared" si="2"/>
        <v>TC-CS-SW-</v>
      </c>
      <c r="I64" s="7">
        <f t="shared" si="0"/>
        <v>1</v>
      </c>
    </row>
    <row r="65" spans="1:9" ht="18.600000000000001" customHeight="1" x14ac:dyDescent="0.45">
      <c r="A65" s="8" t="s">
        <v>337</v>
      </c>
      <c r="B65" s="8" t="s">
        <v>224</v>
      </c>
      <c r="C65" s="8" t="s">
        <v>96</v>
      </c>
      <c r="D65" s="23" t="str">
        <f>IFERROR(VLOOKUP(A65,コード表２!$A$2:$B$294,2,FALSE),"")</f>
        <v>TC</v>
      </c>
      <c r="E65" s="23" t="str">
        <f>IFERROR(VLOOKUP(B65,コード表２!$E$2:$F$294,2,FALSE),"")</f>
        <v>CS</v>
      </c>
      <c r="F65" s="23" t="str">
        <f>IFERROR(VLOOKUP(C65,コード表２!$I$2:$J$294,2,FALSE),"")</f>
        <v>OS</v>
      </c>
      <c r="G65" s="23" t="str">
        <f t="shared" si="1"/>
        <v>TC-CS-</v>
      </c>
      <c r="H65" s="7" t="str">
        <f t="shared" si="2"/>
        <v>TC-CS-OS-</v>
      </c>
      <c r="I65" s="7">
        <f t="shared" si="0"/>
        <v>1</v>
      </c>
    </row>
    <row r="66" spans="1:9" ht="18.600000000000001" customHeight="1" x14ac:dyDescent="0.45">
      <c r="A66" s="8" t="s">
        <v>337</v>
      </c>
      <c r="B66" s="8" t="s">
        <v>224</v>
      </c>
      <c r="C66" s="8" t="s">
        <v>97</v>
      </c>
      <c r="D66" s="23" t="str">
        <f>IFERROR(VLOOKUP(A66,コード表２!$A$2:$B$294,2,FALSE),"")</f>
        <v>TC</v>
      </c>
      <c r="E66" s="23" t="str">
        <f>IFERROR(VLOOKUP(B66,コード表２!$E$2:$F$294,2,FALSE),"")</f>
        <v>CS</v>
      </c>
      <c r="F66" s="23" t="str">
        <f>IFERROR(VLOOKUP(C66,コード表２!$I$2:$J$294,2,FALSE),"")</f>
        <v>MW</v>
      </c>
      <c r="G66" s="23" t="str">
        <f t="shared" si="1"/>
        <v>TC-CS-</v>
      </c>
      <c r="H66" s="7" t="str">
        <f t="shared" si="2"/>
        <v>TC-CS-MW-</v>
      </c>
      <c r="I66" s="7">
        <f t="shared" ref="I66:I129" si="3">IF(H66="","",COUNTIF($H$2:$H$190,H66))</f>
        <v>1</v>
      </c>
    </row>
    <row r="67" spans="1:9" ht="18.600000000000001" customHeight="1" x14ac:dyDescent="0.45">
      <c r="A67" s="8" t="s">
        <v>337</v>
      </c>
      <c r="B67" s="8" t="s">
        <v>224</v>
      </c>
      <c r="C67" s="8" t="s">
        <v>98</v>
      </c>
      <c r="D67" s="23" t="str">
        <f>IFERROR(VLOOKUP(A67,コード表２!$A$2:$B$294,2,FALSE),"")</f>
        <v>TC</v>
      </c>
      <c r="E67" s="23" t="str">
        <f>IFERROR(VLOOKUP(B67,コード表２!$E$2:$F$294,2,FALSE),"")</f>
        <v>CS</v>
      </c>
      <c r="F67" s="23" t="str">
        <f>IFERROR(VLOOKUP(C67,コード表２!$I$2:$J$294,2,FALSE),"")</f>
        <v>FS</v>
      </c>
      <c r="G67" s="23" t="str">
        <f t="shared" ref="G67:G130" si="4">IF(D67="","",D67&amp;"-"&amp;E67&amp;"-")</f>
        <v>TC-CS-</v>
      </c>
      <c r="H67" s="7" t="str">
        <f t="shared" ref="H67:H130" si="5">IF(D67="","",IF(F67="",D67&amp;"-"&amp;E67&amp;"-",D67&amp;"-"&amp;E67&amp;"-"&amp;F67&amp;"-"))</f>
        <v>TC-CS-FS-</v>
      </c>
      <c r="I67" s="7">
        <f t="shared" si="3"/>
        <v>1</v>
      </c>
    </row>
    <row r="68" spans="1:9" ht="18.600000000000001" customHeight="1" x14ac:dyDescent="0.45">
      <c r="A68" s="8" t="s">
        <v>337</v>
      </c>
      <c r="B68" s="8" t="s">
        <v>224</v>
      </c>
      <c r="C68" s="8" t="s">
        <v>99</v>
      </c>
      <c r="D68" s="23" t="str">
        <f>IFERROR(VLOOKUP(A68,コード表２!$A$2:$B$294,2,FALSE),"")</f>
        <v>TC</v>
      </c>
      <c r="E68" s="23" t="str">
        <f>IFERROR(VLOOKUP(B68,コード表２!$E$2:$F$294,2,FALSE),"")</f>
        <v>CS</v>
      </c>
      <c r="F68" s="23" t="str">
        <f>IFERROR(VLOOKUP(C68,コード表２!$I$2:$J$294,2,FALSE),"")</f>
        <v>DT</v>
      </c>
      <c r="G68" s="23" t="str">
        <f t="shared" si="4"/>
        <v>TC-CS-</v>
      </c>
      <c r="H68" s="7" t="str">
        <f t="shared" si="5"/>
        <v>TC-CS-DT-</v>
      </c>
      <c r="I68" s="7">
        <f t="shared" si="3"/>
        <v>1</v>
      </c>
    </row>
    <row r="69" spans="1:9" ht="18.600000000000001" customHeight="1" x14ac:dyDescent="0.45">
      <c r="A69" s="8" t="s">
        <v>337</v>
      </c>
      <c r="B69" s="8" t="s">
        <v>224</v>
      </c>
      <c r="C69" s="8" t="s">
        <v>100</v>
      </c>
      <c r="D69" s="23" t="str">
        <f>IFERROR(VLOOKUP(A69,コード表２!$A$2:$B$294,2,FALSE),"")</f>
        <v>TC</v>
      </c>
      <c r="E69" s="23" t="str">
        <f>IFERROR(VLOOKUP(B69,コード表２!$E$2:$F$294,2,FALSE),"")</f>
        <v>CS</v>
      </c>
      <c r="F69" s="23" t="str">
        <f>IFERROR(VLOOKUP(C69,コード表２!$I$2:$J$294,2,FALSE),"")</f>
        <v>OP</v>
      </c>
      <c r="G69" s="23" t="str">
        <f t="shared" si="4"/>
        <v>TC-CS-</v>
      </c>
      <c r="H69" s="7" t="str">
        <f t="shared" si="5"/>
        <v>TC-CS-OP-</v>
      </c>
      <c r="I69" s="7">
        <f t="shared" si="3"/>
        <v>1</v>
      </c>
    </row>
    <row r="70" spans="1:9" ht="18.600000000000001" customHeight="1" x14ac:dyDescent="0.45">
      <c r="A70" s="8" t="s">
        <v>337</v>
      </c>
      <c r="B70" s="8" t="s">
        <v>224</v>
      </c>
      <c r="C70" s="8" t="s">
        <v>101</v>
      </c>
      <c r="D70" s="23" t="str">
        <f>IFERROR(VLOOKUP(A70,コード表２!$A$2:$B$294,2,FALSE),"")</f>
        <v>TC</v>
      </c>
      <c r="E70" s="23" t="str">
        <f>IFERROR(VLOOKUP(B70,コード表２!$E$2:$F$294,2,FALSE),"")</f>
        <v>CS</v>
      </c>
      <c r="F70" s="23" t="str">
        <f>IFERROR(VLOOKUP(C70,コード表２!$I$2:$J$294,2,FALSE),"")</f>
        <v>HW</v>
      </c>
      <c r="G70" s="23" t="str">
        <f t="shared" si="4"/>
        <v>TC-CS-</v>
      </c>
      <c r="H70" s="7" t="str">
        <f t="shared" si="5"/>
        <v>TC-CS-HW-</v>
      </c>
      <c r="I70" s="7">
        <f t="shared" si="3"/>
        <v>1</v>
      </c>
    </row>
    <row r="71" spans="1:9" ht="18.600000000000001" customHeight="1" x14ac:dyDescent="0.45">
      <c r="A71" s="8" t="s">
        <v>337</v>
      </c>
      <c r="B71" s="8" t="s">
        <v>102</v>
      </c>
      <c r="C71" s="8" t="s">
        <v>103</v>
      </c>
      <c r="D71" s="23" t="str">
        <f>IFERROR(VLOOKUP(A71,コード表２!$A$2:$B$294,2,FALSE),"")</f>
        <v>TC</v>
      </c>
      <c r="E71" s="23" t="str">
        <f>IFERROR(VLOOKUP(B71,コード表２!$E$2:$F$294,2,FALSE),"")</f>
        <v>UI</v>
      </c>
      <c r="F71" s="23" t="str">
        <f>IFERROR(VLOOKUP(C71,コード表２!$I$2:$J$294,2,FALSE),"")</f>
        <v>UI</v>
      </c>
      <c r="G71" s="23" t="str">
        <f t="shared" si="4"/>
        <v>TC-UI-</v>
      </c>
      <c r="H71" s="7" t="str">
        <f t="shared" si="5"/>
        <v>TC-UI-UI-</v>
      </c>
      <c r="I71" s="7">
        <f t="shared" si="3"/>
        <v>1</v>
      </c>
    </row>
    <row r="72" spans="1:9" ht="18.600000000000001" customHeight="1" x14ac:dyDescent="0.45">
      <c r="A72" s="8" t="s">
        <v>337</v>
      </c>
      <c r="B72" s="8" t="s">
        <v>102</v>
      </c>
      <c r="C72" s="8" t="s">
        <v>104</v>
      </c>
      <c r="D72" s="23" t="str">
        <f>IFERROR(VLOOKUP(A72,コード表２!$A$2:$B$294,2,FALSE),"")</f>
        <v>TC</v>
      </c>
      <c r="E72" s="23" t="str">
        <f>IFERROR(VLOOKUP(B72,コード表２!$E$2:$F$294,2,FALSE),"")</f>
        <v>UI</v>
      </c>
      <c r="F72" s="23" t="str">
        <f>IFERROR(VLOOKUP(C72,コード表２!$I$2:$J$294,2,FALSE),"")</f>
        <v>UX</v>
      </c>
      <c r="G72" s="23" t="str">
        <f t="shared" si="4"/>
        <v>TC-UI-</v>
      </c>
      <c r="H72" s="7" t="str">
        <f t="shared" si="5"/>
        <v>TC-UI-UX-</v>
      </c>
      <c r="I72" s="7">
        <f t="shared" si="3"/>
        <v>1</v>
      </c>
    </row>
    <row r="73" spans="1:9" ht="18.600000000000001" customHeight="1" x14ac:dyDescent="0.45">
      <c r="A73" s="8" t="s">
        <v>337</v>
      </c>
      <c r="B73" s="8" t="s">
        <v>102</v>
      </c>
      <c r="C73" s="8" t="s">
        <v>105</v>
      </c>
      <c r="D73" s="23" t="str">
        <f>IFERROR(VLOOKUP(A73,コード表２!$A$2:$B$294,2,FALSE),"")</f>
        <v>TC</v>
      </c>
      <c r="E73" s="23" t="str">
        <f>IFERROR(VLOOKUP(B73,コード表２!$E$2:$F$294,2,FALSE),"")</f>
        <v>UI</v>
      </c>
      <c r="F73" s="23" t="str">
        <f>IFERROR(VLOOKUP(C73,コード表２!$I$2:$J$294,2,FALSE),"")</f>
        <v>IM</v>
      </c>
      <c r="G73" s="23" t="str">
        <f t="shared" si="4"/>
        <v>TC-UI-</v>
      </c>
      <c r="H73" s="7" t="str">
        <f t="shared" si="5"/>
        <v>TC-UI-IM-</v>
      </c>
      <c r="I73" s="7">
        <f t="shared" si="3"/>
        <v>1</v>
      </c>
    </row>
    <row r="74" spans="1:9" ht="18.600000000000001" customHeight="1" x14ac:dyDescent="0.45">
      <c r="A74" s="8" t="s">
        <v>337</v>
      </c>
      <c r="B74" s="8" t="s">
        <v>102</v>
      </c>
      <c r="C74" s="8" t="s">
        <v>106</v>
      </c>
      <c r="D74" s="23" t="str">
        <f>IFERROR(VLOOKUP(A74,コード表２!$A$2:$B$294,2,FALSE),"")</f>
        <v>TC</v>
      </c>
      <c r="E74" s="23" t="str">
        <f>IFERROR(VLOOKUP(B74,コード表２!$E$2:$F$294,2,FALSE),"")</f>
        <v>UI</v>
      </c>
      <c r="F74" s="23" t="str">
        <f>IFERROR(VLOOKUP(C74,コード表２!$I$2:$J$294,2,FALSE),"")</f>
        <v>MM</v>
      </c>
      <c r="G74" s="23" t="str">
        <f t="shared" si="4"/>
        <v>TC-UI-</v>
      </c>
      <c r="H74" s="7" t="str">
        <f t="shared" si="5"/>
        <v>TC-UI-MM-</v>
      </c>
      <c r="I74" s="7">
        <f t="shared" si="3"/>
        <v>1</v>
      </c>
    </row>
    <row r="75" spans="1:9" ht="18.600000000000001" customHeight="1" x14ac:dyDescent="0.45">
      <c r="A75" s="8" t="s">
        <v>337</v>
      </c>
      <c r="B75" s="8" t="s">
        <v>102</v>
      </c>
      <c r="C75" s="8" t="s">
        <v>107</v>
      </c>
      <c r="D75" s="23" t="str">
        <f>IFERROR(VLOOKUP(A75,コード表２!$A$2:$B$294,2,FALSE),"")</f>
        <v>TC</v>
      </c>
      <c r="E75" s="23" t="str">
        <f>IFERROR(VLOOKUP(B75,コード表２!$E$2:$F$294,2,FALSE),"")</f>
        <v>UI</v>
      </c>
      <c r="F75" s="23" t="str">
        <f>IFERROR(VLOOKUP(C75,コード表２!$I$2:$J$294,2,FALSE),"")</f>
        <v>MA</v>
      </c>
      <c r="G75" s="23" t="str">
        <f t="shared" si="4"/>
        <v>TC-UI-</v>
      </c>
      <c r="H75" s="7" t="str">
        <f t="shared" si="5"/>
        <v>TC-UI-MA-</v>
      </c>
      <c r="I75" s="7">
        <f t="shared" si="3"/>
        <v>1</v>
      </c>
    </row>
    <row r="76" spans="1:9" ht="18.600000000000001" customHeight="1" x14ac:dyDescent="0.45">
      <c r="A76" s="8" t="s">
        <v>337</v>
      </c>
      <c r="B76" s="8" t="s">
        <v>225</v>
      </c>
      <c r="C76" s="8" t="s">
        <v>108</v>
      </c>
      <c r="D76" s="23" t="str">
        <f>IFERROR(VLOOKUP(A76,コード表２!$A$2:$B$294,2,FALSE),"")</f>
        <v>TC</v>
      </c>
      <c r="E76" s="23" t="str">
        <f>IFERROR(VLOOKUP(B76,コード表２!$E$2:$F$294,2,FALSE),"")</f>
        <v>DB</v>
      </c>
      <c r="F76" s="23" t="str">
        <f>IFERROR(VLOOKUP(C76,コード表２!$I$2:$J$294,2,FALSE),"")</f>
        <v>DB</v>
      </c>
      <c r="G76" s="23" t="str">
        <f t="shared" si="4"/>
        <v>TC-DB-</v>
      </c>
      <c r="H76" s="7" t="str">
        <f t="shared" si="5"/>
        <v>TC-DB-DB-</v>
      </c>
      <c r="I76" s="7">
        <f t="shared" si="3"/>
        <v>1</v>
      </c>
    </row>
    <row r="77" spans="1:9" ht="18.600000000000001" customHeight="1" x14ac:dyDescent="0.45">
      <c r="A77" s="8" t="s">
        <v>337</v>
      </c>
      <c r="B77" s="8" t="s">
        <v>225</v>
      </c>
      <c r="C77" s="8" t="s">
        <v>109</v>
      </c>
      <c r="D77" s="23" t="str">
        <f>IFERROR(VLOOKUP(A77,コード表２!$A$2:$B$294,2,FALSE),"")</f>
        <v>TC</v>
      </c>
      <c r="E77" s="23" t="str">
        <f>IFERROR(VLOOKUP(B77,コード表２!$E$2:$F$294,2,FALSE),"")</f>
        <v>DB</v>
      </c>
      <c r="F77" s="23" t="str">
        <f>IFERROR(VLOOKUP(C77,コード表２!$I$2:$J$294,2,FALSE),"")</f>
        <v>DS</v>
      </c>
      <c r="G77" s="23" t="str">
        <f t="shared" si="4"/>
        <v>TC-DB-</v>
      </c>
      <c r="H77" s="7" t="str">
        <f t="shared" si="5"/>
        <v>TC-DB-DS-</v>
      </c>
      <c r="I77" s="7">
        <f t="shared" si="3"/>
        <v>1</v>
      </c>
    </row>
    <row r="78" spans="1:9" ht="18.600000000000001" customHeight="1" x14ac:dyDescent="0.45">
      <c r="A78" s="8" t="s">
        <v>337</v>
      </c>
      <c r="B78" s="8" t="s">
        <v>225</v>
      </c>
      <c r="C78" s="8" t="s">
        <v>110</v>
      </c>
      <c r="D78" s="23" t="str">
        <f>IFERROR(VLOOKUP(A78,コード表２!$A$2:$B$294,2,FALSE),"")</f>
        <v>TC</v>
      </c>
      <c r="E78" s="23" t="str">
        <f>IFERROR(VLOOKUP(B78,コード表２!$E$2:$F$294,2,FALSE),"")</f>
        <v>DB</v>
      </c>
      <c r="F78" s="23" t="str">
        <f>IFERROR(VLOOKUP(C78,コード表２!$I$2:$J$294,2,FALSE),"")</f>
        <v>DO</v>
      </c>
      <c r="G78" s="23" t="str">
        <f t="shared" si="4"/>
        <v>TC-DB-</v>
      </c>
      <c r="H78" s="7" t="str">
        <f t="shared" si="5"/>
        <v>TC-DB-DO-</v>
      </c>
      <c r="I78" s="7">
        <f t="shared" si="3"/>
        <v>1</v>
      </c>
    </row>
    <row r="79" spans="1:9" ht="18.600000000000001" customHeight="1" x14ac:dyDescent="0.45">
      <c r="A79" s="8" t="s">
        <v>337</v>
      </c>
      <c r="B79" s="8" t="s">
        <v>225</v>
      </c>
      <c r="C79" s="8" t="s">
        <v>111</v>
      </c>
      <c r="D79" s="23" t="str">
        <f>IFERROR(VLOOKUP(A79,コード表２!$A$2:$B$294,2,FALSE),"")</f>
        <v>TC</v>
      </c>
      <c r="E79" s="23" t="str">
        <f>IFERROR(VLOOKUP(B79,コード表２!$E$2:$F$294,2,FALSE),"")</f>
        <v>DB</v>
      </c>
      <c r="F79" s="23" t="str">
        <f>IFERROR(VLOOKUP(C79,コード表２!$I$2:$J$294,2,FALSE),"")</f>
        <v>TP</v>
      </c>
      <c r="G79" s="23" t="str">
        <f t="shared" si="4"/>
        <v>TC-DB-</v>
      </c>
      <c r="H79" s="7" t="str">
        <f t="shared" si="5"/>
        <v>TC-DB-TP-</v>
      </c>
      <c r="I79" s="7">
        <f t="shared" si="3"/>
        <v>1</v>
      </c>
    </row>
    <row r="80" spans="1:9" ht="18.600000000000001" customHeight="1" x14ac:dyDescent="0.45">
      <c r="A80" s="8" t="s">
        <v>337</v>
      </c>
      <c r="B80" s="8" t="s">
        <v>225</v>
      </c>
      <c r="C80" s="8" t="s">
        <v>112</v>
      </c>
      <c r="D80" s="23" t="str">
        <f>IFERROR(VLOOKUP(A80,コード表２!$A$2:$B$294,2,FALSE),"")</f>
        <v>TC</v>
      </c>
      <c r="E80" s="23" t="str">
        <f>IFERROR(VLOOKUP(B80,コード表２!$E$2:$F$294,2,FALSE),"")</f>
        <v>DB</v>
      </c>
      <c r="F80" s="23" t="str">
        <f>IFERROR(VLOOKUP(C80,コード表２!$I$2:$J$294,2,FALSE),"")</f>
        <v>DA</v>
      </c>
      <c r="G80" s="23" t="str">
        <f t="shared" si="4"/>
        <v>TC-DB-</v>
      </c>
      <c r="H80" s="7" t="str">
        <f t="shared" si="5"/>
        <v>TC-DB-DA-</v>
      </c>
      <c r="I80" s="7">
        <f t="shared" si="3"/>
        <v>1</v>
      </c>
    </row>
    <row r="81" spans="1:9" ht="18.600000000000001" customHeight="1" x14ac:dyDescent="0.45">
      <c r="A81" s="8" t="s">
        <v>337</v>
      </c>
      <c r="B81" s="8" t="s">
        <v>225</v>
      </c>
      <c r="C81" s="8" t="s">
        <v>292</v>
      </c>
      <c r="D81" s="23" t="str">
        <f>IFERROR(VLOOKUP(A81,コード表２!$A$2:$B$294,2,FALSE),"")</f>
        <v>TC</v>
      </c>
      <c r="E81" s="23" t="str">
        <f>IFERROR(VLOOKUP(B81,コード表２!$E$2:$F$294,2,FALSE),"")</f>
        <v>DB</v>
      </c>
      <c r="F81" s="23" t="str">
        <f>IFERROR(VLOOKUP(C81,コード表２!$I$2:$J$294,2,FALSE),"")</f>
        <v>SQ</v>
      </c>
      <c r="G81" s="23" t="str">
        <f t="shared" si="4"/>
        <v>TC-DB-</v>
      </c>
      <c r="H81" s="7" t="str">
        <f t="shared" si="5"/>
        <v>TC-DB-SQ-</v>
      </c>
      <c r="I81" s="7">
        <f t="shared" si="3"/>
        <v>1</v>
      </c>
    </row>
    <row r="82" spans="1:9" ht="18.600000000000001" customHeight="1" x14ac:dyDescent="0.45">
      <c r="A82" s="8" t="s">
        <v>337</v>
      </c>
      <c r="B82" s="8" t="s">
        <v>115</v>
      </c>
      <c r="C82" s="8" t="s">
        <v>116</v>
      </c>
      <c r="D82" s="23" t="str">
        <f>IFERROR(VLOOKUP(A82,コード表２!$A$2:$B$294,2,FALSE),"")</f>
        <v>TC</v>
      </c>
      <c r="E82" s="23" t="str">
        <f>IFERROR(VLOOKUP(B82,コード表２!$E$2:$F$294,2,FALSE),"")</f>
        <v>NW</v>
      </c>
      <c r="F82" s="23" t="str">
        <f>IFERROR(VLOOKUP(C82,コード表２!$I$2:$J$294,2,FALSE),"")</f>
        <v>NW</v>
      </c>
      <c r="G82" s="23" t="str">
        <f t="shared" si="4"/>
        <v>TC-NW-</v>
      </c>
      <c r="H82" s="7" t="str">
        <f t="shared" si="5"/>
        <v>TC-NW-NW-</v>
      </c>
      <c r="I82" s="7">
        <f t="shared" si="3"/>
        <v>1</v>
      </c>
    </row>
    <row r="83" spans="1:9" ht="18.600000000000001" customHeight="1" x14ac:dyDescent="0.45">
      <c r="A83" s="8" t="s">
        <v>337</v>
      </c>
      <c r="B83" s="8" t="s">
        <v>115</v>
      </c>
      <c r="C83" s="8" t="s">
        <v>117</v>
      </c>
      <c r="D83" s="23" t="str">
        <f>IFERROR(VLOOKUP(A83,コード表２!$A$2:$B$294,2,FALSE),"")</f>
        <v>TC</v>
      </c>
      <c r="E83" s="23" t="str">
        <f>IFERROR(VLOOKUP(B83,コード表２!$E$2:$F$294,2,FALSE),"")</f>
        <v>NW</v>
      </c>
      <c r="F83" s="23" t="str">
        <f>IFERROR(VLOOKUP(C83,コード表２!$I$2:$J$294,2,FALSE),"")</f>
        <v>DC</v>
      </c>
      <c r="G83" s="23" t="str">
        <f t="shared" si="4"/>
        <v>TC-NW-</v>
      </c>
      <c r="H83" s="7" t="str">
        <f t="shared" si="5"/>
        <v>TC-NW-DC-</v>
      </c>
      <c r="I83" s="7">
        <f t="shared" si="3"/>
        <v>1</v>
      </c>
    </row>
    <row r="84" spans="1:9" ht="18.600000000000001" customHeight="1" x14ac:dyDescent="0.45">
      <c r="A84" s="8" t="s">
        <v>337</v>
      </c>
      <c r="B84" s="8" t="s">
        <v>115</v>
      </c>
      <c r="C84" s="8" t="s">
        <v>118</v>
      </c>
      <c r="D84" s="23" t="str">
        <f>IFERROR(VLOOKUP(A84,コード表２!$A$2:$B$294,2,FALSE),"")</f>
        <v>TC</v>
      </c>
      <c r="E84" s="23" t="str">
        <f>IFERROR(VLOOKUP(B84,コード表２!$E$2:$F$294,2,FALSE),"")</f>
        <v>NW</v>
      </c>
      <c r="F84" s="23" t="str">
        <f>IFERROR(VLOOKUP(C84,コード表２!$I$2:$J$294,2,FALSE),"")</f>
        <v>CP</v>
      </c>
      <c r="G84" s="23" t="str">
        <f t="shared" si="4"/>
        <v>TC-NW-</v>
      </c>
      <c r="H84" s="7" t="str">
        <f t="shared" si="5"/>
        <v>TC-NW-CP-</v>
      </c>
      <c r="I84" s="7">
        <f t="shared" si="3"/>
        <v>1</v>
      </c>
    </row>
    <row r="85" spans="1:9" ht="18.600000000000001" customHeight="1" x14ac:dyDescent="0.45">
      <c r="A85" s="8" t="s">
        <v>337</v>
      </c>
      <c r="B85" s="8" t="s">
        <v>115</v>
      </c>
      <c r="C85" s="8" t="s">
        <v>119</v>
      </c>
      <c r="D85" s="23" t="str">
        <f>IFERROR(VLOOKUP(A85,コード表２!$A$2:$B$294,2,FALSE),"")</f>
        <v>TC</v>
      </c>
      <c r="E85" s="23" t="str">
        <f>IFERROR(VLOOKUP(B85,コード表２!$E$2:$F$294,2,FALSE),"")</f>
        <v>NW</v>
      </c>
      <c r="F85" s="23" t="str">
        <f>IFERROR(VLOOKUP(C85,コード表２!$I$2:$J$294,2,FALSE),"")</f>
        <v>NM</v>
      </c>
      <c r="G85" s="23" t="str">
        <f t="shared" si="4"/>
        <v>TC-NW-</v>
      </c>
      <c r="H85" s="7" t="str">
        <f t="shared" si="5"/>
        <v>TC-NW-NM-</v>
      </c>
      <c r="I85" s="7">
        <f t="shared" si="3"/>
        <v>1</v>
      </c>
    </row>
    <row r="86" spans="1:9" ht="18.600000000000001" customHeight="1" x14ac:dyDescent="0.45">
      <c r="A86" s="8" t="s">
        <v>337</v>
      </c>
      <c r="B86" s="8" t="s">
        <v>115</v>
      </c>
      <c r="C86" s="8" t="s">
        <v>120</v>
      </c>
      <c r="D86" s="23" t="str">
        <f>IFERROR(VLOOKUP(A86,コード表２!$A$2:$B$294,2,FALSE),"")</f>
        <v>TC</v>
      </c>
      <c r="E86" s="23" t="str">
        <f>IFERROR(VLOOKUP(B86,コード表２!$E$2:$F$294,2,FALSE),"")</f>
        <v>NW</v>
      </c>
      <c r="F86" s="23" t="str">
        <f>IFERROR(VLOOKUP(C86,コード表２!$I$2:$J$294,2,FALSE),"")</f>
        <v>NA</v>
      </c>
      <c r="G86" s="23" t="str">
        <f t="shared" si="4"/>
        <v>TC-NW-</v>
      </c>
      <c r="H86" s="7" t="str">
        <f t="shared" si="5"/>
        <v>TC-NW-NA-</v>
      </c>
      <c r="I86" s="7">
        <f t="shared" si="3"/>
        <v>1</v>
      </c>
    </row>
    <row r="87" spans="1:9" ht="18.600000000000001" customHeight="1" x14ac:dyDescent="0.45">
      <c r="A87" s="8" t="s">
        <v>337</v>
      </c>
      <c r="B87" s="8" t="s">
        <v>121</v>
      </c>
      <c r="C87" s="8" t="s">
        <v>122</v>
      </c>
      <c r="D87" s="23" t="str">
        <f>IFERROR(VLOOKUP(A87,コード表２!$A$2:$B$294,2,FALSE),"")</f>
        <v>TC</v>
      </c>
      <c r="E87" s="23" t="str">
        <f>IFERROR(VLOOKUP(B87,コード表２!$E$2:$F$294,2,FALSE),"")</f>
        <v>IS</v>
      </c>
      <c r="F87" s="23" t="str">
        <f>IFERROR(VLOOKUP(C87,コード表２!$I$2:$J$294,2,FALSE),"")</f>
        <v>SM</v>
      </c>
      <c r="G87" s="23" t="str">
        <f t="shared" si="4"/>
        <v>TC-IS-</v>
      </c>
      <c r="H87" s="7" t="str">
        <f t="shared" si="5"/>
        <v>TC-IS-SM-</v>
      </c>
      <c r="I87" s="7">
        <f t="shared" si="3"/>
        <v>1</v>
      </c>
    </row>
    <row r="88" spans="1:9" ht="18.600000000000001" customHeight="1" x14ac:dyDescent="0.45">
      <c r="A88" s="8" t="s">
        <v>337</v>
      </c>
      <c r="B88" s="8" t="s">
        <v>121</v>
      </c>
      <c r="C88" s="8" t="s">
        <v>123</v>
      </c>
      <c r="D88" s="23" t="str">
        <f>IFERROR(VLOOKUP(A88,コード表２!$A$2:$B$294,2,FALSE),"")</f>
        <v>TC</v>
      </c>
      <c r="E88" s="23" t="str">
        <f>IFERROR(VLOOKUP(B88,コード表２!$E$2:$F$294,2,FALSE),"")</f>
        <v>IS</v>
      </c>
      <c r="F88" s="23" t="str">
        <f>IFERROR(VLOOKUP(C88,コード表２!$I$2:$J$294,2,FALSE),"")</f>
        <v>SE</v>
      </c>
      <c r="G88" s="23" t="str">
        <f t="shared" si="4"/>
        <v>TC-IS-</v>
      </c>
      <c r="H88" s="7" t="str">
        <f t="shared" si="5"/>
        <v>TC-IS-SE-</v>
      </c>
      <c r="I88" s="7">
        <f t="shared" si="3"/>
        <v>1</v>
      </c>
    </row>
    <row r="89" spans="1:9" ht="18.600000000000001" customHeight="1" x14ac:dyDescent="0.45">
      <c r="A89" s="8" t="s">
        <v>337</v>
      </c>
      <c r="B89" s="8" t="s">
        <v>121</v>
      </c>
      <c r="C89" s="8" t="s">
        <v>124</v>
      </c>
      <c r="D89" s="23" t="str">
        <f>IFERROR(VLOOKUP(A89,コード表２!$A$2:$B$294,2,FALSE),"")</f>
        <v>TC</v>
      </c>
      <c r="E89" s="23" t="str">
        <f>IFERROR(VLOOKUP(B89,コード表２!$E$2:$F$294,2,FALSE),"")</f>
        <v>IS</v>
      </c>
      <c r="F89" s="23" t="str">
        <f>IFERROR(VLOOKUP(C89,コード表２!$I$2:$J$294,2,FALSE),"")</f>
        <v>ST</v>
      </c>
      <c r="G89" s="23" t="str">
        <f t="shared" si="4"/>
        <v>TC-IS-</v>
      </c>
      <c r="H89" s="7" t="str">
        <f t="shared" si="5"/>
        <v>TC-IS-ST-</v>
      </c>
      <c r="I89" s="7">
        <f t="shared" si="3"/>
        <v>1</v>
      </c>
    </row>
    <row r="90" spans="1:9" ht="18.600000000000001" customHeight="1" x14ac:dyDescent="0.45">
      <c r="A90" s="8" t="s">
        <v>337</v>
      </c>
      <c r="B90" s="8" t="s">
        <v>121</v>
      </c>
      <c r="C90" s="8" t="s">
        <v>125</v>
      </c>
      <c r="D90" s="23" t="str">
        <f>IFERROR(VLOOKUP(A90,コード表２!$A$2:$B$294,2,FALSE),"")</f>
        <v>TC</v>
      </c>
      <c r="E90" s="23" t="str">
        <f>IFERROR(VLOOKUP(B90,コード表２!$E$2:$F$294,2,FALSE),"")</f>
        <v>IS</v>
      </c>
      <c r="F90" s="23" t="str">
        <f>IFERROR(VLOOKUP(C90,コード表２!$I$2:$J$294,2,FALSE),"")</f>
        <v>SI</v>
      </c>
      <c r="G90" s="23" t="str">
        <f t="shared" si="4"/>
        <v>TC-IS-</v>
      </c>
      <c r="H90" s="7" t="str">
        <f t="shared" si="5"/>
        <v>TC-IS-SI-</v>
      </c>
      <c r="I90" s="7">
        <f t="shared" si="3"/>
        <v>1</v>
      </c>
    </row>
    <row r="91" spans="1:9" ht="18.600000000000001" customHeight="1" x14ac:dyDescent="0.45">
      <c r="A91" s="8" t="s">
        <v>337</v>
      </c>
      <c r="B91" s="8" t="s">
        <v>121</v>
      </c>
      <c r="C91" s="8" t="s">
        <v>126</v>
      </c>
      <c r="D91" s="23" t="str">
        <f>IFERROR(VLOOKUP(A91,コード表２!$A$2:$B$294,2,FALSE),"")</f>
        <v>TC</v>
      </c>
      <c r="E91" s="23" t="str">
        <f>IFERROR(VLOOKUP(B91,コード表２!$E$2:$F$294,2,FALSE),"")</f>
        <v>IS</v>
      </c>
      <c r="F91" s="23" t="str">
        <f>IFERROR(VLOOKUP(C91,コード表２!$I$2:$J$294,2,FALSE),"")</f>
        <v>PS</v>
      </c>
      <c r="G91" s="23" t="str">
        <f t="shared" si="4"/>
        <v>TC-IS-</v>
      </c>
      <c r="H91" s="7" t="str">
        <f t="shared" si="5"/>
        <v>TC-IS-PS-</v>
      </c>
      <c r="I91" s="7">
        <f t="shared" si="3"/>
        <v>1</v>
      </c>
    </row>
    <row r="92" spans="1:9" ht="18.600000000000001" customHeight="1" x14ac:dyDescent="0.45">
      <c r="A92" s="8" t="s">
        <v>337</v>
      </c>
      <c r="B92" s="8" t="s">
        <v>127</v>
      </c>
      <c r="C92" s="8" t="s">
        <v>128</v>
      </c>
      <c r="D92" s="23" t="str">
        <f>IFERROR(VLOOKUP(A92,コード表２!$A$2:$B$294,2,FALSE),"")</f>
        <v>TC</v>
      </c>
      <c r="E92" s="23" t="str">
        <f>IFERROR(VLOOKUP(B92,コード表２!$E$2:$F$294,2,FALSE),"")</f>
        <v>SD</v>
      </c>
      <c r="F92" s="23" t="str">
        <f>IFERROR(VLOOKUP(C92,コード表２!$I$2:$J$294,2,FALSE),"")</f>
        <v>RD</v>
      </c>
      <c r="G92" s="23" t="str">
        <f t="shared" si="4"/>
        <v>TC-SD-</v>
      </c>
      <c r="H92" s="7" t="str">
        <f t="shared" si="5"/>
        <v>TC-SD-RD-</v>
      </c>
      <c r="I92" s="7">
        <f t="shared" si="3"/>
        <v>1</v>
      </c>
    </row>
    <row r="93" spans="1:9" ht="18.600000000000001" customHeight="1" x14ac:dyDescent="0.45">
      <c r="A93" s="8" t="s">
        <v>337</v>
      </c>
      <c r="B93" s="8" t="s">
        <v>127</v>
      </c>
      <c r="C93" s="8" t="s">
        <v>129</v>
      </c>
      <c r="D93" s="23" t="str">
        <f>IFERROR(VLOOKUP(A93,コード表２!$A$2:$B$294,2,FALSE),"")</f>
        <v>TC</v>
      </c>
      <c r="E93" s="23" t="str">
        <f>IFERROR(VLOOKUP(B93,コード表２!$E$2:$F$294,2,FALSE),"")</f>
        <v>SD</v>
      </c>
      <c r="F93" s="23" t="str">
        <f>IFERROR(VLOOKUP(C93,コード表２!$I$2:$J$294,2,FALSE),"")</f>
        <v>DE</v>
      </c>
      <c r="G93" s="23" t="str">
        <f t="shared" si="4"/>
        <v>TC-SD-</v>
      </c>
      <c r="H93" s="7" t="str">
        <f t="shared" si="5"/>
        <v>TC-SD-DE-</v>
      </c>
      <c r="I93" s="7">
        <f t="shared" si="3"/>
        <v>1</v>
      </c>
    </row>
    <row r="94" spans="1:9" ht="18.600000000000001" customHeight="1" x14ac:dyDescent="0.45">
      <c r="A94" s="8" t="s">
        <v>337</v>
      </c>
      <c r="B94" s="8" t="s">
        <v>127</v>
      </c>
      <c r="C94" s="8" t="s">
        <v>130</v>
      </c>
      <c r="D94" s="23" t="str">
        <f>IFERROR(VLOOKUP(A94,コード表２!$A$2:$B$294,2,FALSE),"")</f>
        <v>TC</v>
      </c>
      <c r="E94" s="23" t="str">
        <f>IFERROR(VLOOKUP(B94,コード表２!$E$2:$F$294,2,FALSE),"")</f>
        <v>SD</v>
      </c>
      <c r="F94" s="23" t="str">
        <f>IFERROR(VLOOKUP(C94,コード表２!$I$2:$J$294,2,FALSE),"")</f>
        <v>IM</v>
      </c>
      <c r="G94" s="23" t="str">
        <f t="shared" si="4"/>
        <v>TC-SD-</v>
      </c>
      <c r="H94" s="7" t="str">
        <f t="shared" si="5"/>
        <v>TC-SD-IM-</v>
      </c>
      <c r="I94" s="7">
        <f t="shared" si="3"/>
        <v>1</v>
      </c>
    </row>
    <row r="95" spans="1:9" ht="18.600000000000001" customHeight="1" x14ac:dyDescent="0.45">
      <c r="A95" s="8" t="s">
        <v>337</v>
      </c>
      <c r="B95" s="8" t="s">
        <v>127</v>
      </c>
      <c r="C95" s="8" t="s">
        <v>131</v>
      </c>
      <c r="D95" s="23" t="str">
        <f>IFERROR(VLOOKUP(A95,コード表２!$A$2:$B$294,2,FALSE),"")</f>
        <v>TC</v>
      </c>
      <c r="E95" s="23" t="str">
        <f>IFERROR(VLOOKUP(B95,コード表２!$E$2:$F$294,2,FALSE),"")</f>
        <v>SD</v>
      </c>
      <c r="F95" s="23" t="str">
        <f>IFERROR(VLOOKUP(C95,コード表２!$I$2:$J$294,2,FALSE),"")</f>
        <v>IT</v>
      </c>
      <c r="G95" s="23" t="str">
        <f t="shared" si="4"/>
        <v>TC-SD-</v>
      </c>
      <c r="H95" s="7" t="str">
        <f t="shared" si="5"/>
        <v>TC-SD-IT-</v>
      </c>
      <c r="I95" s="7">
        <f t="shared" si="3"/>
        <v>1</v>
      </c>
    </row>
    <row r="96" spans="1:9" ht="18.600000000000001" customHeight="1" x14ac:dyDescent="0.45">
      <c r="A96" s="8" t="s">
        <v>337</v>
      </c>
      <c r="B96" s="8" t="s">
        <v>127</v>
      </c>
      <c r="C96" s="8" t="s">
        <v>132</v>
      </c>
      <c r="D96" s="23" t="str">
        <f>IFERROR(VLOOKUP(A96,コード表２!$A$2:$B$294,2,FALSE),"")</f>
        <v>TC</v>
      </c>
      <c r="E96" s="23" t="str">
        <f>IFERROR(VLOOKUP(B96,コード表２!$E$2:$F$294,2,FALSE),"")</f>
        <v>SD</v>
      </c>
      <c r="F96" s="23" t="str">
        <f>IFERROR(VLOOKUP(C96,コード表２!$I$2:$J$294,2,FALSE),"")</f>
        <v>AI</v>
      </c>
      <c r="G96" s="23" t="str">
        <f t="shared" si="4"/>
        <v>TC-SD-</v>
      </c>
      <c r="H96" s="7" t="str">
        <f t="shared" si="5"/>
        <v>TC-SD-AI-</v>
      </c>
      <c r="I96" s="7">
        <f t="shared" si="3"/>
        <v>1</v>
      </c>
    </row>
    <row r="97" spans="1:9" ht="18.600000000000001" customHeight="1" x14ac:dyDescent="0.45">
      <c r="A97" s="8" t="s">
        <v>337</v>
      </c>
      <c r="B97" s="8" t="s">
        <v>127</v>
      </c>
      <c r="C97" s="8" t="s">
        <v>133</v>
      </c>
      <c r="D97" s="23" t="str">
        <f>IFERROR(VLOOKUP(A97,コード表２!$A$2:$B$294,2,FALSE),"")</f>
        <v>TC</v>
      </c>
      <c r="E97" s="23" t="str">
        <f>IFERROR(VLOOKUP(B97,コード表２!$E$2:$F$294,2,FALSE),"")</f>
        <v>SD</v>
      </c>
      <c r="F97" s="23" t="str">
        <f>IFERROR(VLOOKUP(C97,コード表２!$I$2:$J$294,2,FALSE),"")</f>
        <v>MA</v>
      </c>
      <c r="G97" s="23" t="str">
        <f t="shared" si="4"/>
        <v>TC-SD-</v>
      </c>
      <c r="H97" s="7" t="str">
        <f t="shared" si="5"/>
        <v>TC-SD-MA-</v>
      </c>
      <c r="I97" s="7">
        <f t="shared" si="3"/>
        <v>1</v>
      </c>
    </row>
    <row r="98" spans="1:9" ht="18.600000000000001" customHeight="1" x14ac:dyDescent="0.45">
      <c r="A98" s="8" t="s">
        <v>337</v>
      </c>
      <c r="B98" s="8" t="s">
        <v>134</v>
      </c>
      <c r="C98" s="8" t="s">
        <v>135</v>
      </c>
      <c r="D98" s="23" t="str">
        <f>IFERROR(VLOOKUP(A98,コード表２!$A$2:$B$294,2,FALSE),"")</f>
        <v>TC</v>
      </c>
      <c r="E98" s="23" t="str">
        <f>IFERROR(VLOOKUP(B98,コード表２!$E$2:$F$294,2,FALSE),"")</f>
        <v>SM</v>
      </c>
      <c r="F98" s="23" t="str">
        <f>IFERROR(VLOOKUP(C98,コード表２!$I$2:$J$294,2,FALSE),"")</f>
        <v>DP</v>
      </c>
      <c r="G98" s="23" t="str">
        <f t="shared" si="4"/>
        <v>TC-SM-</v>
      </c>
      <c r="H98" s="7" t="str">
        <f t="shared" si="5"/>
        <v>TC-SM-DP-</v>
      </c>
      <c r="I98" s="7">
        <f t="shared" si="3"/>
        <v>1</v>
      </c>
    </row>
    <row r="99" spans="1:9" ht="18.600000000000001" customHeight="1" x14ac:dyDescent="0.45">
      <c r="A99" s="8" t="s">
        <v>337</v>
      </c>
      <c r="B99" s="8" t="s">
        <v>134</v>
      </c>
      <c r="C99" s="8" t="s">
        <v>136</v>
      </c>
      <c r="D99" s="23" t="str">
        <f>IFERROR(VLOOKUP(A99,コード表２!$A$2:$B$294,2,FALSE),"")</f>
        <v>TC</v>
      </c>
      <c r="E99" s="23" t="str">
        <f>IFERROR(VLOOKUP(B99,コード表２!$E$2:$F$294,2,FALSE),"")</f>
        <v>SM</v>
      </c>
      <c r="F99" s="23" t="str">
        <f>IFERROR(VLOOKUP(C99,コード表２!$I$2:$J$294,2,FALSE),"")</f>
        <v>IP</v>
      </c>
      <c r="G99" s="23" t="str">
        <f t="shared" si="4"/>
        <v>TC-SM-</v>
      </c>
      <c r="H99" s="7" t="str">
        <f t="shared" si="5"/>
        <v>TC-SM-IP-</v>
      </c>
      <c r="I99" s="7">
        <f t="shared" si="3"/>
        <v>1</v>
      </c>
    </row>
    <row r="100" spans="1:9" ht="18.600000000000001" customHeight="1" x14ac:dyDescent="0.45">
      <c r="A100" s="8" t="s">
        <v>337</v>
      </c>
      <c r="B100" s="8" t="s">
        <v>134</v>
      </c>
      <c r="C100" s="8" t="s">
        <v>137</v>
      </c>
      <c r="D100" s="23" t="str">
        <f>IFERROR(VLOOKUP(A100,コード表２!$A$2:$B$294,2,FALSE),"")</f>
        <v>TC</v>
      </c>
      <c r="E100" s="23" t="str">
        <f>IFERROR(VLOOKUP(B100,コード表２!$E$2:$F$294,2,FALSE),"")</f>
        <v>SM</v>
      </c>
      <c r="F100" s="23" t="str">
        <f>IFERROR(VLOOKUP(C100,コード表２!$I$2:$J$294,2,FALSE),"")</f>
        <v>EM</v>
      </c>
      <c r="G100" s="23" t="str">
        <f t="shared" si="4"/>
        <v>TC-SM-</v>
      </c>
      <c r="H100" s="7" t="str">
        <f t="shared" si="5"/>
        <v>TC-SM-EM-</v>
      </c>
      <c r="I100" s="7">
        <f t="shared" si="3"/>
        <v>1</v>
      </c>
    </row>
    <row r="101" spans="1:9" ht="18.600000000000001" customHeight="1" x14ac:dyDescent="0.45">
      <c r="A101" s="8" t="s">
        <v>337</v>
      </c>
      <c r="B101" s="8" t="s">
        <v>134</v>
      </c>
      <c r="C101" s="8" t="s">
        <v>138</v>
      </c>
      <c r="D101" s="23" t="str">
        <f>IFERROR(VLOOKUP(A101,コード表２!$A$2:$B$294,2,FALSE),"")</f>
        <v>TC</v>
      </c>
      <c r="E101" s="23" t="str">
        <f>IFERROR(VLOOKUP(B101,コード表２!$E$2:$F$294,2,FALSE),"")</f>
        <v>SM</v>
      </c>
      <c r="F101" s="23" t="str">
        <f>IFERROR(VLOOKUP(C101,コード表２!$I$2:$J$294,2,FALSE),"")</f>
        <v>CM</v>
      </c>
      <c r="G101" s="23" t="str">
        <f t="shared" si="4"/>
        <v>TC-SM-</v>
      </c>
      <c r="H101" s="7" t="str">
        <f t="shared" si="5"/>
        <v>TC-SM-CM-</v>
      </c>
      <c r="I101" s="7">
        <f t="shared" si="3"/>
        <v>1</v>
      </c>
    </row>
    <row r="102" spans="1:9" ht="18.600000000000001" customHeight="1" x14ac:dyDescent="0.45">
      <c r="A102" s="8" t="s">
        <v>338</v>
      </c>
      <c r="B102" s="8" t="s">
        <v>139</v>
      </c>
      <c r="C102" s="8" t="s">
        <v>139</v>
      </c>
      <c r="D102" s="23" t="str">
        <f>IFERROR(VLOOKUP(A102,コード表２!$A$2:$B$294,2,FALSE),"")</f>
        <v>MN</v>
      </c>
      <c r="E102" s="23" t="str">
        <f>IFERROR(VLOOKUP(B102,コード表２!$E$2:$F$294,2,FALSE),"")</f>
        <v>PM</v>
      </c>
      <c r="F102" s="23" t="str">
        <f>IFERROR(VLOOKUP(C102,コード表２!$I$2:$J$294,2,FALSE),"")</f>
        <v>PM</v>
      </c>
      <c r="G102" s="23" t="str">
        <f t="shared" si="4"/>
        <v>MN-PM-</v>
      </c>
      <c r="H102" s="7" t="str">
        <f t="shared" si="5"/>
        <v>MN-PM-PM-</v>
      </c>
      <c r="I102" s="7">
        <f t="shared" si="3"/>
        <v>1</v>
      </c>
    </row>
    <row r="103" spans="1:9" ht="18.600000000000001" customHeight="1" x14ac:dyDescent="0.45">
      <c r="A103" s="8" t="s">
        <v>338</v>
      </c>
      <c r="B103" s="8" t="s">
        <v>139</v>
      </c>
      <c r="C103" s="8" t="s">
        <v>140</v>
      </c>
      <c r="D103" s="23" t="str">
        <f>IFERROR(VLOOKUP(A103,コード表２!$A$2:$B$294,2,FALSE),"")</f>
        <v>MN</v>
      </c>
      <c r="E103" s="23" t="str">
        <f>IFERROR(VLOOKUP(B103,コード表２!$E$2:$F$294,2,FALSE),"")</f>
        <v>PM</v>
      </c>
      <c r="F103" s="23" t="str">
        <f>IFERROR(VLOOKUP(C103,コード表２!$I$2:$J$294,2,FALSE),"")</f>
        <v>PI</v>
      </c>
      <c r="G103" s="23" t="str">
        <f t="shared" si="4"/>
        <v>MN-PM-</v>
      </c>
      <c r="H103" s="7" t="str">
        <f t="shared" si="5"/>
        <v>MN-PM-PI-</v>
      </c>
      <c r="I103" s="7">
        <f t="shared" si="3"/>
        <v>1</v>
      </c>
    </row>
    <row r="104" spans="1:9" ht="18.600000000000001" customHeight="1" x14ac:dyDescent="0.45">
      <c r="A104" s="8" t="s">
        <v>338</v>
      </c>
      <c r="B104" s="8" t="s">
        <v>139</v>
      </c>
      <c r="C104" s="8" t="s">
        <v>141</v>
      </c>
      <c r="D104" s="23" t="str">
        <f>IFERROR(VLOOKUP(A104,コード表２!$A$2:$B$294,2,FALSE),"")</f>
        <v>MN</v>
      </c>
      <c r="E104" s="23" t="str">
        <f>IFERROR(VLOOKUP(B104,コード表２!$E$2:$F$294,2,FALSE),"")</f>
        <v>PM</v>
      </c>
      <c r="F104" s="23" t="str">
        <f>IFERROR(VLOOKUP(C104,コード表２!$I$2:$J$294,2,FALSE),"")</f>
        <v>SH</v>
      </c>
      <c r="G104" s="23" t="str">
        <f t="shared" si="4"/>
        <v>MN-PM-</v>
      </c>
      <c r="H104" s="7" t="str">
        <f t="shared" si="5"/>
        <v>MN-PM-SH-</v>
      </c>
      <c r="I104" s="7">
        <f t="shared" si="3"/>
        <v>1</v>
      </c>
    </row>
    <row r="105" spans="1:9" ht="18.600000000000001" customHeight="1" x14ac:dyDescent="0.45">
      <c r="A105" s="8" t="s">
        <v>338</v>
      </c>
      <c r="B105" s="8" t="s">
        <v>139</v>
      </c>
      <c r="C105" s="8" t="s">
        <v>142</v>
      </c>
      <c r="D105" s="23" t="str">
        <f>IFERROR(VLOOKUP(A105,コード表２!$A$2:$B$294,2,FALSE),"")</f>
        <v>MN</v>
      </c>
      <c r="E105" s="23" t="str">
        <f>IFERROR(VLOOKUP(B105,コード表２!$E$2:$F$294,2,FALSE),"")</f>
        <v>PM</v>
      </c>
      <c r="F105" s="23" t="str">
        <f>IFERROR(VLOOKUP(C105,コード表２!$I$2:$J$294,2,FALSE),"")</f>
        <v>SC</v>
      </c>
      <c r="G105" s="23" t="str">
        <f t="shared" si="4"/>
        <v>MN-PM-</v>
      </c>
      <c r="H105" s="7" t="str">
        <f t="shared" si="5"/>
        <v>MN-PM-SC-</v>
      </c>
      <c r="I105" s="7">
        <f t="shared" si="3"/>
        <v>1</v>
      </c>
    </row>
    <row r="106" spans="1:9" ht="18.600000000000001" customHeight="1" x14ac:dyDescent="0.45">
      <c r="A106" s="8" t="s">
        <v>338</v>
      </c>
      <c r="B106" s="8" t="s">
        <v>139</v>
      </c>
      <c r="C106" s="8" t="s">
        <v>143</v>
      </c>
      <c r="D106" s="23" t="str">
        <f>IFERROR(VLOOKUP(A106,コード表２!$A$2:$B$294,2,FALSE),"")</f>
        <v>MN</v>
      </c>
      <c r="E106" s="23" t="str">
        <f>IFERROR(VLOOKUP(B106,コード表２!$E$2:$F$294,2,FALSE),"")</f>
        <v>PM</v>
      </c>
      <c r="F106" s="23" t="str">
        <f>IFERROR(VLOOKUP(C106,コード表２!$I$2:$J$294,2,FALSE),"")</f>
        <v>RS</v>
      </c>
      <c r="G106" s="23" t="str">
        <f t="shared" si="4"/>
        <v>MN-PM-</v>
      </c>
      <c r="H106" s="7" t="str">
        <f t="shared" si="5"/>
        <v>MN-PM-RS-</v>
      </c>
      <c r="I106" s="7">
        <f t="shared" si="3"/>
        <v>1</v>
      </c>
    </row>
    <row r="107" spans="1:9" ht="18.600000000000001" customHeight="1" x14ac:dyDescent="0.45">
      <c r="A107" s="8" t="s">
        <v>338</v>
      </c>
      <c r="B107" s="8" t="s">
        <v>139</v>
      </c>
      <c r="C107" s="8" t="s">
        <v>144</v>
      </c>
      <c r="D107" s="23" t="str">
        <f>IFERROR(VLOOKUP(A107,コード表２!$A$2:$B$294,2,FALSE),"")</f>
        <v>MN</v>
      </c>
      <c r="E107" s="23" t="str">
        <f>IFERROR(VLOOKUP(B107,コード表２!$E$2:$F$294,2,FALSE),"")</f>
        <v>PM</v>
      </c>
      <c r="F107" s="23" t="str">
        <f>IFERROR(VLOOKUP(C107,コード表２!$I$2:$J$294,2,FALSE),"")</f>
        <v>TM</v>
      </c>
      <c r="G107" s="23" t="str">
        <f t="shared" si="4"/>
        <v>MN-PM-</v>
      </c>
      <c r="H107" s="7" t="str">
        <f t="shared" si="5"/>
        <v>MN-PM-TM-</v>
      </c>
      <c r="I107" s="7">
        <f t="shared" si="3"/>
        <v>1</v>
      </c>
    </row>
    <row r="108" spans="1:9" ht="18.600000000000001" customHeight="1" x14ac:dyDescent="0.45">
      <c r="A108" s="8" t="s">
        <v>338</v>
      </c>
      <c r="B108" s="8" t="s">
        <v>139</v>
      </c>
      <c r="C108" s="8" t="s">
        <v>145</v>
      </c>
      <c r="D108" s="23" t="str">
        <f>IFERROR(VLOOKUP(A108,コード表２!$A$2:$B$294,2,FALSE),"")</f>
        <v>MN</v>
      </c>
      <c r="E108" s="23" t="str">
        <f>IFERROR(VLOOKUP(B108,コード表２!$E$2:$F$294,2,FALSE),"")</f>
        <v>PM</v>
      </c>
      <c r="F108" s="23" t="str">
        <f>IFERROR(VLOOKUP(C108,コード表２!$I$2:$J$294,2,FALSE),"")</f>
        <v>CO</v>
      </c>
      <c r="G108" s="23" t="str">
        <f t="shared" si="4"/>
        <v>MN-PM-</v>
      </c>
      <c r="H108" s="7" t="str">
        <f t="shared" si="5"/>
        <v>MN-PM-CO-</v>
      </c>
      <c r="I108" s="7">
        <f t="shared" si="3"/>
        <v>1</v>
      </c>
    </row>
    <row r="109" spans="1:9" ht="18.600000000000001" customHeight="1" x14ac:dyDescent="0.45">
      <c r="A109" s="8" t="s">
        <v>338</v>
      </c>
      <c r="B109" s="8" t="s">
        <v>139</v>
      </c>
      <c r="C109" s="8" t="s">
        <v>146</v>
      </c>
      <c r="D109" s="23" t="str">
        <f>IFERROR(VLOOKUP(A109,コード表２!$A$2:$B$294,2,FALSE),"")</f>
        <v>MN</v>
      </c>
      <c r="E109" s="23" t="str">
        <f>IFERROR(VLOOKUP(B109,コード表２!$E$2:$F$294,2,FALSE),"")</f>
        <v>PM</v>
      </c>
      <c r="F109" s="23" t="str">
        <f>IFERROR(VLOOKUP(C109,コード表２!$I$2:$J$294,2,FALSE),"")</f>
        <v>RK</v>
      </c>
      <c r="G109" s="23" t="str">
        <f t="shared" si="4"/>
        <v>MN-PM-</v>
      </c>
      <c r="H109" s="7" t="str">
        <f t="shared" si="5"/>
        <v>MN-PM-RK-</v>
      </c>
      <c r="I109" s="7">
        <f t="shared" si="3"/>
        <v>1</v>
      </c>
    </row>
    <row r="110" spans="1:9" ht="18.600000000000001" customHeight="1" x14ac:dyDescent="0.45">
      <c r="A110" s="8" t="s">
        <v>338</v>
      </c>
      <c r="B110" s="8" t="s">
        <v>139</v>
      </c>
      <c r="C110" s="8" t="s">
        <v>147</v>
      </c>
      <c r="D110" s="23" t="str">
        <f>IFERROR(VLOOKUP(A110,コード表２!$A$2:$B$294,2,FALSE),"")</f>
        <v>MN</v>
      </c>
      <c r="E110" s="23" t="str">
        <f>IFERROR(VLOOKUP(B110,コード表２!$E$2:$F$294,2,FALSE),"")</f>
        <v>PM</v>
      </c>
      <c r="F110" s="23" t="str">
        <f>IFERROR(VLOOKUP(C110,コード表２!$I$2:$J$294,2,FALSE),"")</f>
        <v>QL</v>
      </c>
      <c r="G110" s="23" t="str">
        <f t="shared" si="4"/>
        <v>MN-PM-</v>
      </c>
      <c r="H110" s="7" t="str">
        <f t="shared" si="5"/>
        <v>MN-PM-QL-</v>
      </c>
      <c r="I110" s="7">
        <f t="shared" si="3"/>
        <v>1</v>
      </c>
    </row>
    <row r="111" spans="1:9" ht="18.600000000000001" customHeight="1" x14ac:dyDescent="0.45">
      <c r="A111" s="8" t="s">
        <v>338</v>
      </c>
      <c r="B111" s="8" t="s">
        <v>148</v>
      </c>
      <c r="C111" s="8" t="s">
        <v>148</v>
      </c>
      <c r="D111" s="23" t="str">
        <f>IFERROR(VLOOKUP(A111,コード表２!$A$2:$B$294,2,FALSE),"")</f>
        <v>MN</v>
      </c>
      <c r="E111" s="23" t="str">
        <f>IFERROR(VLOOKUP(B111,コード表２!$E$2:$F$294,2,FALSE),"")</f>
        <v>SW</v>
      </c>
      <c r="F111" s="23" t="str">
        <f>IFERROR(VLOOKUP(C111,コード表２!$I$2:$J$294,2,FALSE),"")</f>
        <v>SM</v>
      </c>
      <c r="G111" s="23" t="str">
        <f t="shared" si="4"/>
        <v>MN-SW-</v>
      </c>
      <c r="H111" s="7" t="str">
        <f t="shared" si="5"/>
        <v>MN-SW-SM-</v>
      </c>
      <c r="I111" s="7">
        <f t="shared" si="3"/>
        <v>1</v>
      </c>
    </row>
    <row r="112" spans="1:9" ht="18.600000000000001" customHeight="1" x14ac:dyDescent="0.45">
      <c r="A112" s="8" t="s">
        <v>338</v>
      </c>
      <c r="B112" s="8" t="s">
        <v>148</v>
      </c>
      <c r="C112" s="8" t="s">
        <v>149</v>
      </c>
      <c r="D112" s="23" t="str">
        <f>IFERROR(VLOOKUP(A112,コード表２!$A$2:$B$294,2,FALSE),"")</f>
        <v>MN</v>
      </c>
      <c r="E112" s="23" t="str">
        <f>IFERROR(VLOOKUP(B112,コード表２!$E$2:$F$294,2,FALSE),"")</f>
        <v>SW</v>
      </c>
      <c r="F112" s="23" t="str">
        <f>IFERROR(VLOOKUP(C112,コード表２!$I$2:$J$294,2,FALSE),"")</f>
        <v>SP</v>
      </c>
      <c r="G112" s="23" t="str">
        <f t="shared" si="4"/>
        <v>MN-SW-</v>
      </c>
      <c r="H112" s="7" t="str">
        <f t="shared" si="5"/>
        <v>MN-SW-SP-</v>
      </c>
      <c r="I112" s="7">
        <f t="shared" si="3"/>
        <v>1</v>
      </c>
    </row>
    <row r="113" spans="1:9" ht="18.600000000000001" customHeight="1" x14ac:dyDescent="0.45">
      <c r="A113" s="8" t="s">
        <v>338</v>
      </c>
      <c r="B113" s="8" t="s">
        <v>148</v>
      </c>
      <c r="C113" s="8" t="s">
        <v>150</v>
      </c>
      <c r="D113" s="23" t="str">
        <f>IFERROR(VLOOKUP(A113,コード表２!$A$2:$B$294,2,FALSE),"")</f>
        <v>MN</v>
      </c>
      <c r="E113" s="23" t="str">
        <f>IFERROR(VLOOKUP(B113,コード表２!$E$2:$F$294,2,FALSE),"")</f>
        <v>SW</v>
      </c>
      <c r="F113" s="23" t="str">
        <f>IFERROR(VLOOKUP(C113,コード表２!$I$2:$J$294,2,FALSE),"")</f>
        <v>PE</v>
      </c>
      <c r="G113" s="23" t="str">
        <f t="shared" si="4"/>
        <v>MN-SW-</v>
      </c>
      <c r="H113" s="7" t="str">
        <f t="shared" si="5"/>
        <v>MN-SW-PE-</v>
      </c>
      <c r="I113" s="7">
        <f t="shared" si="3"/>
        <v>1</v>
      </c>
    </row>
    <row r="114" spans="1:9" ht="18.600000000000001" customHeight="1" x14ac:dyDescent="0.45">
      <c r="A114" s="8" t="s">
        <v>338</v>
      </c>
      <c r="B114" s="8" t="s">
        <v>148</v>
      </c>
      <c r="C114" s="8" t="s">
        <v>151</v>
      </c>
      <c r="D114" s="23" t="str">
        <f>IFERROR(VLOOKUP(A114,コード表２!$A$2:$B$294,2,FALSE),"")</f>
        <v>MN</v>
      </c>
      <c r="E114" s="23" t="str">
        <f>IFERROR(VLOOKUP(B114,コード表２!$E$2:$F$294,2,FALSE),"")</f>
        <v>SW</v>
      </c>
      <c r="F114" s="23" t="str">
        <f>IFERROR(VLOOKUP(C114,コード表２!$I$2:$J$294,2,FALSE),"")</f>
        <v>SO</v>
      </c>
      <c r="G114" s="23" t="str">
        <f t="shared" si="4"/>
        <v>MN-SW-</v>
      </c>
      <c r="H114" s="7" t="str">
        <f t="shared" si="5"/>
        <v>MN-SW-SO-</v>
      </c>
      <c r="I114" s="7">
        <f t="shared" si="3"/>
        <v>1</v>
      </c>
    </row>
    <row r="115" spans="1:9" ht="18.600000000000001" customHeight="1" x14ac:dyDescent="0.45">
      <c r="A115" s="8" t="s">
        <v>338</v>
      </c>
      <c r="B115" s="8" t="s">
        <v>148</v>
      </c>
      <c r="C115" s="8" t="s">
        <v>152</v>
      </c>
      <c r="D115" s="23" t="str">
        <f>IFERROR(VLOOKUP(A115,コード表２!$A$2:$B$294,2,FALSE),"")</f>
        <v>MN</v>
      </c>
      <c r="E115" s="23" t="str">
        <f>IFERROR(VLOOKUP(B115,コード表２!$E$2:$F$294,2,FALSE),"")</f>
        <v>SW</v>
      </c>
      <c r="F115" s="23" t="str">
        <f>IFERROR(VLOOKUP(C115,コード表２!$I$2:$J$294,2,FALSE),"")</f>
        <v>FM</v>
      </c>
      <c r="G115" s="23" t="str">
        <f t="shared" si="4"/>
        <v>MN-SW-</v>
      </c>
      <c r="H115" s="7" t="str">
        <f t="shared" si="5"/>
        <v>MN-SW-FM-</v>
      </c>
      <c r="I115" s="7">
        <f t="shared" si="3"/>
        <v>1</v>
      </c>
    </row>
    <row r="116" spans="1:9" ht="18.600000000000001" customHeight="1" x14ac:dyDescent="0.45">
      <c r="A116" s="8" t="s">
        <v>338</v>
      </c>
      <c r="B116" s="8" t="s">
        <v>153</v>
      </c>
      <c r="C116" s="8" t="s">
        <v>154</v>
      </c>
      <c r="D116" s="23" t="str">
        <f>IFERROR(VLOOKUP(A116,コード表２!$A$2:$B$294,2,FALSE),"")</f>
        <v>MN</v>
      </c>
      <c r="E116" s="23" t="str">
        <f>IFERROR(VLOOKUP(B116,コード表２!$E$2:$F$294,2,FALSE),"")</f>
        <v>AU</v>
      </c>
      <c r="F116" s="23" t="str">
        <f>IFERROR(VLOOKUP(C116,コード表２!$I$2:$J$294,2,FALSE),"")</f>
        <v>IC</v>
      </c>
      <c r="G116" s="23" t="str">
        <f t="shared" si="4"/>
        <v>MN-AU-</v>
      </c>
      <c r="H116" s="7" t="str">
        <f t="shared" si="5"/>
        <v>MN-AU-IC-</v>
      </c>
      <c r="I116" s="7">
        <f t="shared" si="3"/>
        <v>1</v>
      </c>
    </row>
    <row r="117" spans="1:9" ht="18.600000000000001" customHeight="1" x14ac:dyDescent="0.45">
      <c r="A117" s="8" t="s">
        <v>339</v>
      </c>
      <c r="B117" s="8" t="s">
        <v>155</v>
      </c>
      <c r="C117" s="8" t="s">
        <v>156</v>
      </c>
      <c r="D117" s="23" t="str">
        <f>IFERROR(VLOOKUP(A117,コード表２!$A$2:$B$294,2,FALSE),"")</f>
        <v>ST</v>
      </c>
      <c r="E117" s="23" t="str">
        <f>IFERROR(VLOOKUP(B117,コード表２!$E$2:$F$294,2,FALSE),"")</f>
        <v>ST</v>
      </c>
      <c r="F117" s="23" t="str">
        <f>IFERROR(VLOOKUP(C117,コード表２!$I$2:$J$294,2,FALSE),"")</f>
        <v>IS</v>
      </c>
      <c r="G117" s="23" t="str">
        <f t="shared" si="4"/>
        <v>ST-ST-</v>
      </c>
      <c r="H117" s="7" t="str">
        <f t="shared" si="5"/>
        <v>ST-ST-IS-</v>
      </c>
      <c r="I117" s="7">
        <f t="shared" si="3"/>
        <v>1</v>
      </c>
    </row>
    <row r="118" spans="1:9" ht="18.600000000000001" customHeight="1" x14ac:dyDescent="0.45">
      <c r="A118" s="8" t="s">
        <v>339</v>
      </c>
      <c r="B118" s="8" t="s">
        <v>155</v>
      </c>
      <c r="C118" s="8" t="s">
        <v>157</v>
      </c>
      <c r="D118" s="23" t="str">
        <f>IFERROR(VLOOKUP(A118,コード表２!$A$2:$B$294,2,FALSE),"")</f>
        <v>ST</v>
      </c>
      <c r="E118" s="23" t="str">
        <f>IFERROR(VLOOKUP(B118,コード表２!$E$2:$F$294,2,FALSE),"")</f>
        <v>ST</v>
      </c>
      <c r="F118" s="23" t="str">
        <f>IFERROR(VLOOKUP(C118,コード表２!$I$2:$J$294,2,FALSE),"")</f>
        <v>BP</v>
      </c>
      <c r="G118" s="23" t="str">
        <f t="shared" si="4"/>
        <v>ST-ST-</v>
      </c>
      <c r="H118" s="7" t="str">
        <f t="shared" si="5"/>
        <v>ST-ST-BP-</v>
      </c>
      <c r="I118" s="7">
        <f t="shared" si="3"/>
        <v>1</v>
      </c>
    </row>
    <row r="119" spans="1:9" ht="18.600000000000001" customHeight="1" x14ac:dyDescent="0.45">
      <c r="A119" s="8" t="s">
        <v>339</v>
      </c>
      <c r="B119" s="8" t="s">
        <v>155</v>
      </c>
      <c r="C119" s="8" t="s">
        <v>158</v>
      </c>
      <c r="D119" s="23" t="str">
        <f>IFERROR(VLOOKUP(A119,コード表２!$A$2:$B$294,2,FALSE),"")</f>
        <v>ST</v>
      </c>
      <c r="E119" s="23" t="str">
        <f>IFERROR(VLOOKUP(B119,コード表２!$E$2:$F$294,2,FALSE),"")</f>
        <v>ST</v>
      </c>
      <c r="F119" s="23" t="str">
        <f>IFERROR(VLOOKUP(C119,コード表２!$I$2:$J$294,2,FALSE),"")</f>
        <v>SB</v>
      </c>
      <c r="G119" s="23" t="str">
        <f t="shared" si="4"/>
        <v>ST-ST-</v>
      </c>
      <c r="H119" s="7" t="str">
        <f t="shared" si="5"/>
        <v>ST-ST-SB-</v>
      </c>
      <c r="I119" s="7">
        <f t="shared" si="3"/>
        <v>1</v>
      </c>
    </row>
    <row r="120" spans="1:9" ht="18.600000000000001" customHeight="1" x14ac:dyDescent="0.45">
      <c r="A120" s="8" t="s">
        <v>339</v>
      </c>
      <c r="B120" s="8" t="s">
        <v>155</v>
      </c>
      <c r="C120" s="8" t="s">
        <v>159</v>
      </c>
      <c r="D120" s="23" t="str">
        <f>IFERROR(VLOOKUP(A120,コード表２!$A$2:$B$294,2,FALSE),"")</f>
        <v>ST</v>
      </c>
      <c r="E120" s="23" t="str">
        <f>IFERROR(VLOOKUP(B120,コード表２!$E$2:$F$294,2,FALSE),"")</f>
        <v>ST</v>
      </c>
      <c r="F120" s="23" t="str">
        <f>IFERROR(VLOOKUP(C120,コード表２!$I$2:$J$294,2,FALSE),"")</f>
        <v>AE</v>
      </c>
      <c r="G120" s="23" t="str">
        <f t="shared" si="4"/>
        <v>ST-ST-</v>
      </c>
      <c r="H120" s="7" t="str">
        <f t="shared" si="5"/>
        <v>ST-ST-AE-</v>
      </c>
      <c r="I120" s="7">
        <f t="shared" si="3"/>
        <v>1</v>
      </c>
    </row>
    <row r="121" spans="1:9" ht="18.600000000000001" customHeight="1" x14ac:dyDescent="0.45">
      <c r="A121" s="8" t="s">
        <v>339</v>
      </c>
      <c r="B121" s="8" t="s">
        <v>160</v>
      </c>
      <c r="C121" s="8" t="s">
        <v>161</v>
      </c>
      <c r="D121" s="23" t="str">
        <f>IFERROR(VLOOKUP(A121,コード表２!$A$2:$B$294,2,FALSE),"")</f>
        <v>ST</v>
      </c>
      <c r="E121" s="23" t="str">
        <f>IFERROR(VLOOKUP(B121,コード表２!$E$2:$F$294,2,FALSE),"")</f>
        <v>SP</v>
      </c>
      <c r="F121" s="23" t="str">
        <f>IFERROR(VLOOKUP(C121,コード表２!$I$2:$J$294,2,FALSE),"")</f>
        <v>CP</v>
      </c>
      <c r="G121" s="23" t="str">
        <f t="shared" si="4"/>
        <v>ST-SP-</v>
      </c>
      <c r="H121" s="7" t="str">
        <f t="shared" si="5"/>
        <v>ST-SP-CP-</v>
      </c>
      <c r="I121" s="7">
        <f t="shared" si="3"/>
        <v>1</v>
      </c>
    </row>
    <row r="122" spans="1:9" ht="18.600000000000001" customHeight="1" x14ac:dyDescent="0.45">
      <c r="A122" s="8" t="s">
        <v>339</v>
      </c>
      <c r="B122" s="8" t="s">
        <v>160</v>
      </c>
      <c r="C122" s="8" t="s">
        <v>162</v>
      </c>
      <c r="D122" s="23" t="str">
        <f>IFERROR(VLOOKUP(A122,コード表２!$A$2:$B$294,2,FALSE),"")</f>
        <v>ST</v>
      </c>
      <c r="E122" s="23" t="str">
        <f>IFERROR(VLOOKUP(B122,コード表２!$E$2:$F$294,2,FALSE),"")</f>
        <v>SP</v>
      </c>
      <c r="F122" s="23" t="str">
        <f>IFERROR(VLOOKUP(C122,コード表２!$I$2:$J$294,2,FALSE),"")</f>
        <v>RD</v>
      </c>
      <c r="G122" s="23" t="str">
        <f t="shared" si="4"/>
        <v>ST-SP-</v>
      </c>
      <c r="H122" s="7" t="str">
        <f t="shared" si="5"/>
        <v>ST-SP-RD-</v>
      </c>
      <c r="I122" s="7">
        <f t="shared" si="3"/>
        <v>1</v>
      </c>
    </row>
    <row r="123" spans="1:9" ht="18.600000000000001" customHeight="1" x14ac:dyDescent="0.45">
      <c r="A123" s="8" t="s">
        <v>339</v>
      </c>
      <c r="B123" s="8" t="s">
        <v>160</v>
      </c>
      <c r="C123" s="8" t="s">
        <v>163</v>
      </c>
      <c r="D123" s="23" t="str">
        <f>IFERROR(VLOOKUP(A123,コード表２!$A$2:$B$294,2,FALSE),"")</f>
        <v>ST</v>
      </c>
      <c r="E123" s="23" t="str">
        <f>IFERROR(VLOOKUP(B123,コード表２!$E$2:$F$294,2,FALSE),"")</f>
        <v>SP</v>
      </c>
      <c r="F123" s="23" t="str">
        <f>IFERROR(VLOOKUP(C123,コード表２!$I$2:$J$294,2,FALSE),"")</f>
        <v>PP</v>
      </c>
      <c r="G123" s="23" t="str">
        <f t="shared" si="4"/>
        <v>ST-SP-</v>
      </c>
      <c r="H123" s="7" t="str">
        <f t="shared" si="5"/>
        <v>ST-SP-PP-</v>
      </c>
      <c r="I123" s="7">
        <f t="shared" si="3"/>
        <v>1</v>
      </c>
    </row>
    <row r="124" spans="1:9" ht="18.600000000000001" customHeight="1" x14ac:dyDescent="0.45">
      <c r="A124" s="8" t="s">
        <v>339</v>
      </c>
      <c r="B124" s="8" t="s">
        <v>168</v>
      </c>
      <c r="C124" s="8" t="s">
        <v>164</v>
      </c>
      <c r="D124" s="23" t="str">
        <f>IFERROR(VLOOKUP(A124,コード表２!$A$2:$B$294,2,FALSE),"")</f>
        <v>ST</v>
      </c>
      <c r="E124" s="23" t="str">
        <f>IFERROR(VLOOKUP(B124,コード表２!$E$2:$F$294,2,FALSE),"")</f>
        <v>KS</v>
      </c>
      <c r="F124" s="23" t="str">
        <f>IFERROR(VLOOKUP(C124,コード表２!$I$2:$J$294,2,FALSE),"")</f>
        <v>EM</v>
      </c>
      <c r="G124" s="23" t="str">
        <f t="shared" si="4"/>
        <v>ST-KS-</v>
      </c>
      <c r="H124" s="7" t="str">
        <f t="shared" si="5"/>
        <v>ST-KS-EM-</v>
      </c>
      <c r="I124" s="7">
        <f t="shared" si="3"/>
        <v>1</v>
      </c>
    </row>
    <row r="125" spans="1:9" ht="18.600000000000001" customHeight="1" x14ac:dyDescent="0.45">
      <c r="A125" s="8" t="s">
        <v>339</v>
      </c>
      <c r="B125" s="8" t="s">
        <v>168</v>
      </c>
      <c r="C125" s="8" t="s">
        <v>165</v>
      </c>
      <c r="D125" s="23" t="str">
        <f>IFERROR(VLOOKUP(A125,コード表２!$A$2:$B$294,2,FALSE),"")</f>
        <v>ST</v>
      </c>
      <c r="E125" s="23" t="str">
        <f>IFERROR(VLOOKUP(B125,コード表２!$E$2:$F$294,2,FALSE),"")</f>
        <v>KS</v>
      </c>
      <c r="F125" s="23" t="str">
        <f>IFERROR(VLOOKUP(C125,コード表２!$I$2:$J$294,2,FALSE),"")</f>
        <v>MK</v>
      </c>
      <c r="G125" s="23" t="str">
        <f t="shared" si="4"/>
        <v>ST-KS-</v>
      </c>
      <c r="H125" s="7" t="str">
        <f t="shared" si="5"/>
        <v>ST-KS-MK-</v>
      </c>
      <c r="I125" s="7">
        <f t="shared" si="3"/>
        <v>1</v>
      </c>
    </row>
    <row r="126" spans="1:9" ht="18.600000000000001" customHeight="1" x14ac:dyDescent="0.45">
      <c r="A126" s="8" t="s">
        <v>339</v>
      </c>
      <c r="B126" s="8" t="s">
        <v>168</v>
      </c>
      <c r="C126" s="8" t="s">
        <v>166</v>
      </c>
      <c r="D126" s="23" t="str">
        <f>IFERROR(VLOOKUP(A126,コード表２!$A$2:$B$294,2,FALSE),"")</f>
        <v>ST</v>
      </c>
      <c r="E126" s="23" t="str">
        <f>IFERROR(VLOOKUP(B126,コード表２!$E$2:$F$294,2,FALSE),"")</f>
        <v>KS</v>
      </c>
      <c r="F126" s="23" t="str">
        <f>IFERROR(VLOOKUP(C126,コード表２!$I$2:$J$294,2,FALSE),"")</f>
        <v>BE</v>
      </c>
      <c r="G126" s="23" t="str">
        <f t="shared" si="4"/>
        <v>ST-KS-</v>
      </c>
      <c r="H126" s="7" t="str">
        <f t="shared" si="5"/>
        <v>ST-KS-BE-</v>
      </c>
      <c r="I126" s="7">
        <f t="shared" si="3"/>
        <v>1</v>
      </c>
    </row>
    <row r="127" spans="1:9" ht="18.600000000000001" customHeight="1" x14ac:dyDescent="0.45">
      <c r="A127" s="8" t="s">
        <v>339</v>
      </c>
      <c r="B127" s="8" t="s">
        <v>168</v>
      </c>
      <c r="C127" s="8" t="s">
        <v>167</v>
      </c>
      <c r="D127" s="23" t="str">
        <f>IFERROR(VLOOKUP(A127,コード表２!$A$2:$B$294,2,FALSE),"")</f>
        <v>ST</v>
      </c>
      <c r="E127" s="23" t="str">
        <f>IFERROR(VLOOKUP(B127,コード表２!$E$2:$F$294,2,FALSE),"")</f>
        <v>KS</v>
      </c>
      <c r="F127" s="23" t="str">
        <f>IFERROR(VLOOKUP(C127,コード表２!$I$2:$J$294,2,FALSE),"")</f>
        <v>MS</v>
      </c>
      <c r="G127" s="23" t="str">
        <f t="shared" si="4"/>
        <v>ST-KS-</v>
      </c>
      <c r="H127" s="7" t="str">
        <f t="shared" si="5"/>
        <v>ST-KS-MS-</v>
      </c>
      <c r="I127" s="7">
        <f t="shared" si="3"/>
        <v>1</v>
      </c>
    </row>
    <row r="128" spans="1:9" ht="18.600000000000001" customHeight="1" x14ac:dyDescent="0.45">
      <c r="A128" s="8" t="s">
        <v>339</v>
      </c>
      <c r="B128" s="8" t="s">
        <v>169</v>
      </c>
      <c r="C128" s="8" t="s">
        <v>170</v>
      </c>
      <c r="D128" s="23" t="str">
        <f>IFERROR(VLOOKUP(A128,コード表２!$A$2:$B$294,2,FALSE),"")</f>
        <v>ST</v>
      </c>
      <c r="E128" s="23" t="str">
        <f>IFERROR(VLOOKUP(B128,コード表２!$E$2:$F$294,2,FALSE),"")</f>
        <v>TM</v>
      </c>
      <c r="F128" s="23" t="str">
        <f>IFERROR(VLOOKUP(C128,コード表２!$I$2:$J$294,2,FALSE),"")</f>
        <v>TS</v>
      </c>
      <c r="G128" s="23" t="str">
        <f t="shared" si="4"/>
        <v>ST-TM-</v>
      </c>
      <c r="H128" s="7" t="str">
        <f t="shared" si="5"/>
        <v>ST-TM-TS-</v>
      </c>
      <c r="I128" s="7">
        <f t="shared" si="3"/>
        <v>1</v>
      </c>
    </row>
    <row r="129" spans="1:9" ht="18.600000000000001" customHeight="1" x14ac:dyDescent="0.45">
      <c r="A129" s="8" t="s">
        <v>339</v>
      </c>
      <c r="B129" s="8" t="s">
        <v>169</v>
      </c>
      <c r="C129" s="8" t="s">
        <v>171</v>
      </c>
      <c r="D129" s="23" t="str">
        <f>IFERROR(VLOOKUP(A129,コード表２!$A$2:$B$294,2,FALSE),"")</f>
        <v>ST</v>
      </c>
      <c r="E129" s="23" t="str">
        <f>IFERROR(VLOOKUP(B129,コード表２!$E$2:$F$294,2,FALSE),"")</f>
        <v>TM</v>
      </c>
      <c r="F129" s="23" t="str">
        <f>IFERROR(VLOOKUP(C129,コード表２!$I$2:$J$294,2,FALSE),"")</f>
        <v>TP</v>
      </c>
      <c r="G129" s="23" t="str">
        <f t="shared" si="4"/>
        <v>ST-TM-</v>
      </c>
      <c r="H129" s="7" t="str">
        <f t="shared" si="5"/>
        <v>ST-TM-TP-</v>
      </c>
      <c r="I129" s="7">
        <f t="shared" si="3"/>
        <v>1</v>
      </c>
    </row>
    <row r="130" spans="1:9" ht="18.600000000000001" customHeight="1" x14ac:dyDescent="0.45">
      <c r="A130" s="8" t="s">
        <v>339</v>
      </c>
      <c r="B130" s="8" t="s">
        <v>172</v>
      </c>
      <c r="C130" s="8" t="s">
        <v>173</v>
      </c>
      <c r="D130" s="23" t="str">
        <f>IFERROR(VLOOKUP(A130,コード表２!$A$2:$B$294,2,FALSE),"")</f>
        <v>ST</v>
      </c>
      <c r="E130" s="23" t="str">
        <f>IFERROR(VLOOKUP(B130,コード表２!$E$2:$F$294,2,FALSE),"")</f>
        <v>BI</v>
      </c>
      <c r="F130" s="23" t="str">
        <f>IFERROR(VLOOKUP(C130,コード表２!$I$2:$J$294,2,FALSE),"")</f>
        <v>BS</v>
      </c>
      <c r="G130" s="23" t="str">
        <f t="shared" si="4"/>
        <v>ST-BI-</v>
      </c>
      <c r="H130" s="7" t="str">
        <f t="shared" si="5"/>
        <v>ST-BI-BS-</v>
      </c>
      <c r="I130" s="7">
        <f t="shared" ref="I130:I193" si="6">IF(H130="","",COUNTIF($H$2:$H$190,H130))</f>
        <v>1</v>
      </c>
    </row>
    <row r="131" spans="1:9" ht="18.600000000000001" customHeight="1" x14ac:dyDescent="0.45">
      <c r="A131" s="8" t="s">
        <v>339</v>
      </c>
      <c r="B131" s="8" t="s">
        <v>172</v>
      </c>
      <c r="C131" s="8" t="s">
        <v>174</v>
      </c>
      <c r="D131" s="23" t="str">
        <f>IFERROR(VLOOKUP(A131,コード表２!$A$2:$B$294,2,FALSE),"")</f>
        <v>ST</v>
      </c>
      <c r="E131" s="23" t="str">
        <f>IFERROR(VLOOKUP(B131,コード表２!$E$2:$F$294,2,FALSE),"")</f>
        <v>BI</v>
      </c>
      <c r="F131" s="23" t="str">
        <f>IFERROR(VLOOKUP(C131,コード表２!$I$2:$J$294,2,FALSE),"")</f>
        <v>ES</v>
      </c>
      <c r="G131" s="23" t="str">
        <f t="shared" ref="G131:G194" si="7">IF(D131="","",D131&amp;"-"&amp;E131&amp;"-")</f>
        <v>ST-BI-</v>
      </c>
      <c r="H131" s="7" t="str">
        <f t="shared" ref="H131:H190" si="8">IF(D131="","",IF(F131="",D131&amp;"-"&amp;E131&amp;"-",D131&amp;"-"&amp;E131&amp;"-"&amp;F131&amp;"-"))</f>
        <v>ST-BI-ES-</v>
      </c>
      <c r="I131" s="7">
        <f t="shared" si="6"/>
        <v>1</v>
      </c>
    </row>
    <row r="132" spans="1:9" ht="18.600000000000001" customHeight="1" x14ac:dyDescent="0.45">
      <c r="A132" s="8" t="s">
        <v>339</v>
      </c>
      <c r="B132" s="8" t="s">
        <v>172</v>
      </c>
      <c r="C132" s="8" t="s">
        <v>175</v>
      </c>
      <c r="D132" s="23" t="str">
        <f>IFERROR(VLOOKUP(A132,コード表２!$A$2:$B$294,2,FALSE),"")</f>
        <v>ST</v>
      </c>
      <c r="E132" s="23" t="str">
        <f>IFERROR(VLOOKUP(B132,コード表２!$E$2:$F$294,2,FALSE),"")</f>
        <v>BI</v>
      </c>
      <c r="F132" s="23" t="str">
        <f>IFERROR(VLOOKUP(C132,コード表２!$I$2:$J$294,2,FALSE),"")</f>
        <v>EB</v>
      </c>
      <c r="G132" s="23" t="str">
        <f t="shared" si="7"/>
        <v>ST-BI-</v>
      </c>
      <c r="H132" s="7" t="str">
        <f t="shared" si="8"/>
        <v>ST-BI-EB-</v>
      </c>
      <c r="I132" s="7">
        <f t="shared" si="6"/>
        <v>1</v>
      </c>
    </row>
    <row r="133" spans="1:9" ht="18.600000000000001" customHeight="1" x14ac:dyDescent="0.45">
      <c r="A133" s="8" t="s">
        <v>339</v>
      </c>
      <c r="B133" s="8" t="s">
        <v>172</v>
      </c>
      <c r="C133" s="8" t="s">
        <v>176</v>
      </c>
      <c r="D133" s="23" t="str">
        <f>IFERROR(VLOOKUP(A133,コード表２!$A$2:$B$294,2,FALSE),"")</f>
        <v>ST</v>
      </c>
      <c r="E133" s="23" t="str">
        <f>IFERROR(VLOOKUP(B133,コード表２!$E$2:$F$294,2,FALSE),"")</f>
        <v>BI</v>
      </c>
      <c r="F133" s="23" t="str">
        <f>IFERROR(VLOOKUP(C133,コード表２!$I$2:$J$294,2,FALSE),"")</f>
        <v>CE</v>
      </c>
      <c r="G133" s="23" t="str">
        <f t="shared" si="7"/>
        <v>ST-BI-</v>
      </c>
      <c r="H133" s="7" t="str">
        <f t="shared" si="8"/>
        <v>ST-BI-CE-</v>
      </c>
      <c r="I133" s="7">
        <f t="shared" si="6"/>
        <v>1</v>
      </c>
    </row>
    <row r="134" spans="1:9" ht="18.600000000000001" customHeight="1" x14ac:dyDescent="0.45">
      <c r="A134" s="8" t="s">
        <v>339</v>
      </c>
      <c r="B134" s="8" t="s">
        <v>172</v>
      </c>
      <c r="C134" s="8" t="s">
        <v>177</v>
      </c>
      <c r="D134" s="23" t="str">
        <f>IFERROR(VLOOKUP(A134,コード表２!$A$2:$B$294,2,FALSE),"")</f>
        <v>ST</v>
      </c>
      <c r="E134" s="23" t="str">
        <f>IFERROR(VLOOKUP(B134,コード表２!$E$2:$F$294,2,FALSE),"")</f>
        <v>BI</v>
      </c>
      <c r="F134" s="23" t="str">
        <f>IFERROR(VLOOKUP(C134,コード表２!$I$2:$J$294,2,FALSE),"")</f>
        <v>IE</v>
      </c>
      <c r="G134" s="23" t="str">
        <f t="shared" si="7"/>
        <v>ST-BI-</v>
      </c>
      <c r="H134" s="7" t="str">
        <f t="shared" si="8"/>
        <v>ST-BI-IE-</v>
      </c>
      <c r="I134" s="7">
        <f t="shared" si="6"/>
        <v>1</v>
      </c>
    </row>
    <row r="135" spans="1:9" ht="18.600000000000001" customHeight="1" x14ac:dyDescent="0.45">
      <c r="A135" s="8" t="s">
        <v>339</v>
      </c>
      <c r="B135" s="8" t="s">
        <v>178</v>
      </c>
      <c r="C135" s="8" t="s">
        <v>179</v>
      </c>
      <c r="D135" s="23" t="str">
        <f>IFERROR(VLOOKUP(A135,コード表２!$A$2:$B$294,2,FALSE),"")</f>
        <v>ST</v>
      </c>
      <c r="E135" s="23" t="str">
        <f>IFERROR(VLOOKUP(B135,コード表２!$E$2:$F$294,2,FALSE),"")</f>
        <v>CL</v>
      </c>
      <c r="F135" s="23" t="str">
        <f>IFERROR(VLOOKUP(C135,コード表２!$I$2:$J$294,2,FALSE),"")</f>
        <v>OM</v>
      </c>
      <c r="G135" s="23" t="str">
        <f t="shared" si="7"/>
        <v>ST-CL-</v>
      </c>
      <c r="H135" s="7" t="str">
        <f t="shared" si="8"/>
        <v>ST-CL-OM-</v>
      </c>
      <c r="I135" s="7">
        <f t="shared" si="6"/>
        <v>1</v>
      </c>
    </row>
    <row r="136" spans="1:9" ht="18.600000000000001" customHeight="1" x14ac:dyDescent="0.45">
      <c r="A136" s="8" t="s">
        <v>339</v>
      </c>
      <c r="B136" s="8" t="s">
        <v>178</v>
      </c>
      <c r="C136" s="8" t="s">
        <v>180</v>
      </c>
      <c r="D136" s="23" t="str">
        <f>IFERROR(VLOOKUP(A136,コード表２!$A$2:$B$294,2,FALSE),"")</f>
        <v>ST</v>
      </c>
      <c r="E136" s="23" t="str">
        <f>IFERROR(VLOOKUP(B136,コード表２!$E$2:$F$294,2,FALSE),"")</f>
        <v>CL</v>
      </c>
      <c r="F136" s="23" t="str">
        <f>IFERROR(VLOOKUP(C136,コード表２!$I$2:$J$294,2,FALSE),"")</f>
        <v>DA</v>
      </c>
      <c r="G136" s="23" t="str">
        <f t="shared" si="7"/>
        <v>ST-CL-</v>
      </c>
      <c r="H136" s="7" t="str">
        <f t="shared" si="8"/>
        <v>ST-CL-DA-</v>
      </c>
      <c r="I136" s="7">
        <f t="shared" si="6"/>
        <v>1</v>
      </c>
    </row>
    <row r="137" spans="1:9" ht="18.600000000000001" customHeight="1" x14ac:dyDescent="0.45">
      <c r="A137" s="8" t="s">
        <v>339</v>
      </c>
      <c r="B137" s="8" t="s">
        <v>178</v>
      </c>
      <c r="C137" s="8" t="s">
        <v>181</v>
      </c>
      <c r="D137" s="23" t="str">
        <f>IFERROR(VLOOKUP(A137,コード表２!$A$2:$B$294,2,FALSE),"")</f>
        <v>ST</v>
      </c>
      <c r="E137" s="23" t="str">
        <f>IFERROR(VLOOKUP(B137,コード表２!$E$2:$F$294,2,FALSE),"")</f>
        <v>CL</v>
      </c>
      <c r="F137" s="23" t="str">
        <f>IFERROR(VLOOKUP(C137,コード表２!$I$2:$J$294,2,FALSE),"")</f>
        <v>AF</v>
      </c>
      <c r="G137" s="23" t="str">
        <f t="shared" si="7"/>
        <v>ST-CL-</v>
      </c>
      <c r="H137" s="7" t="str">
        <f t="shared" si="8"/>
        <v>ST-CL-AF-</v>
      </c>
      <c r="I137" s="7">
        <f t="shared" si="6"/>
        <v>1</v>
      </c>
    </row>
    <row r="138" spans="1:9" ht="18.600000000000001" customHeight="1" x14ac:dyDescent="0.45">
      <c r="A138" s="8" t="s">
        <v>47</v>
      </c>
      <c r="B138" s="8" t="s">
        <v>309</v>
      </c>
      <c r="C138" s="8" t="s">
        <v>310</v>
      </c>
      <c r="D138" s="23" t="str">
        <f>IFERROR(VLOOKUP(A138,コード表２!$A$2:$B$294,2,FALSE),"")</f>
        <v>GT</v>
      </c>
      <c r="E138" s="23" t="str">
        <f>IFERROR(VLOOKUP(B138,コード表２!$E$2:$F$294,2,FALSE),"")</f>
        <v/>
      </c>
      <c r="F138" s="23" t="str">
        <f>IFERROR(VLOOKUP(C138,コード表２!$I$2:$J$294,2,FALSE),"")</f>
        <v/>
      </c>
      <c r="G138" s="23" t="str">
        <f t="shared" si="7"/>
        <v>GT--</v>
      </c>
      <c r="H138" s="7" t="str">
        <f t="shared" si="8"/>
        <v>GT--</v>
      </c>
      <c r="I138" s="7">
        <f t="shared" si="6"/>
        <v>20</v>
      </c>
    </row>
    <row r="139" spans="1:9" ht="18.600000000000001" customHeight="1" x14ac:dyDescent="0.45">
      <c r="A139" s="8" t="s">
        <v>47</v>
      </c>
      <c r="B139" s="8" t="s">
        <v>309</v>
      </c>
      <c r="C139" s="8" t="s">
        <v>310</v>
      </c>
      <c r="D139" s="23" t="str">
        <f>IFERROR(VLOOKUP(A139,コード表２!$A$2:$B$294,2,FALSE),"")</f>
        <v>GT</v>
      </c>
      <c r="E139" s="23" t="str">
        <f>IFERROR(VLOOKUP(B139,コード表２!$E$2:$F$294,2,FALSE),"")</f>
        <v/>
      </c>
      <c r="F139" s="23" t="str">
        <f>IFERROR(VLOOKUP(C139,コード表２!$I$2:$J$294,2,FALSE),"")</f>
        <v/>
      </c>
      <c r="G139" s="23" t="str">
        <f t="shared" si="7"/>
        <v>GT--</v>
      </c>
      <c r="H139" s="7" t="str">
        <f t="shared" si="8"/>
        <v>GT--</v>
      </c>
      <c r="I139" s="7">
        <f t="shared" si="6"/>
        <v>20</v>
      </c>
    </row>
    <row r="140" spans="1:9" ht="18.600000000000001" customHeight="1" x14ac:dyDescent="0.45">
      <c r="A140" s="8" t="s">
        <v>47</v>
      </c>
      <c r="B140" s="8" t="s">
        <v>309</v>
      </c>
      <c r="C140" s="8" t="s">
        <v>310</v>
      </c>
      <c r="D140" s="23" t="str">
        <f>IFERROR(VLOOKUP(A140,コード表２!$A$2:$B$294,2,FALSE),"")</f>
        <v>GT</v>
      </c>
      <c r="E140" s="23" t="str">
        <f>IFERROR(VLOOKUP(B140,コード表２!$E$2:$F$294,2,FALSE),"")</f>
        <v/>
      </c>
      <c r="F140" s="23" t="str">
        <f>IFERROR(VLOOKUP(C140,コード表２!$I$2:$J$294,2,FALSE),"")</f>
        <v/>
      </c>
      <c r="G140" s="23" t="str">
        <f t="shared" si="7"/>
        <v>GT--</v>
      </c>
      <c r="H140" s="7" t="str">
        <f t="shared" si="8"/>
        <v>GT--</v>
      </c>
      <c r="I140" s="7">
        <f t="shared" si="6"/>
        <v>20</v>
      </c>
    </row>
    <row r="141" spans="1:9" ht="18.600000000000001" customHeight="1" x14ac:dyDescent="0.45">
      <c r="A141" s="8" t="s">
        <v>47</v>
      </c>
      <c r="B141" s="8" t="s">
        <v>309</v>
      </c>
      <c r="C141" s="8" t="s">
        <v>310</v>
      </c>
      <c r="D141" s="23" t="str">
        <f>IFERROR(VLOOKUP(A141,コード表２!$A$2:$B$294,2,FALSE),"")</f>
        <v>GT</v>
      </c>
      <c r="E141" s="23" t="str">
        <f>IFERROR(VLOOKUP(B141,コード表２!$E$2:$F$294,2,FALSE),"")</f>
        <v/>
      </c>
      <c r="F141" s="23" t="str">
        <f>IFERROR(VLOOKUP(C141,コード表２!$I$2:$J$294,2,FALSE),"")</f>
        <v/>
      </c>
      <c r="G141" s="23" t="str">
        <f t="shared" si="7"/>
        <v>GT--</v>
      </c>
      <c r="H141" s="7" t="str">
        <f t="shared" si="8"/>
        <v>GT--</v>
      </c>
      <c r="I141" s="7">
        <f t="shared" si="6"/>
        <v>20</v>
      </c>
    </row>
    <row r="142" spans="1:9" ht="18.600000000000001" customHeight="1" x14ac:dyDescent="0.45">
      <c r="A142" s="8" t="s">
        <v>47</v>
      </c>
      <c r="B142" s="8" t="s">
        <v>309</v>
      </c>
      <c r="C142" s="8" t="s">
        <v>310</v>
      </c>
      <c r="D142" s="23" t="str">
        <f>IFERROR(VLOOKUP(A142,コード表２!$A$2:$B$294,2,FALSE),"")</f>
        <v>GT</v>
      </c>
      <c r="E142" s="23" t="str">
        <f>IFERROR(VLOOKUP(B142,コード表２!$E$2:$F$294,2,FALSE),"")</f>
        <v/>
      </c>
      <c r="F142" s="23" t="str">
        <f>IFERROR(VLOOKUP(C142,コード表２!$I$2:$J$294,2,FALSE),"")</f>
        <v/>
      </c>
      <c r="G142" s="23" t="str">
        <f t="shared" si="7"/>
        <v>GT--</v>
      </c>
      <c r="H142" s="7" t="str">
        <f t="shared" si="8"/>
        <v>GT--</v>
      </c>
      <c r="I142" s="7">
        <f t="shared" si="6"/>
        <v>20</v>
      </c>
    </row>
    <row r="143" spans="1:9" ht="18.600000000000001" customHeight="1" x14ac:dyDescent="0.45">
      <c r="A143" s="8" t="s">
        <v>47</v>
      </c>
      <c r="B143" s="8" t="s">
        <v>309</v>
      </c>
      <c r="C143" s="8" t="s">
        <v>310</v>
      </c>
      <c r="D143" s="23" t="str">
        <f>IFERROR(VLOOKUP(A143,コード表２!$A$2:$B$294,2,FALSE),"")</f>
        <v>GT</v>
      </c>
      <c r="E143" s="23" t="str">
        <f>IFERROR(VLOOKUP(B143,コード表２!$E$2:$F$294,2,FALSE),"")</f>
        <v/>
      </c>
      <c r="F143" s="23" t="str">
        <f>IFERROR(VLOOKUP(C143,コード表２!$I$2:$J$294,2,FALSE),"")</f>
        <v/>
      </c>
      <c r="G143" s="23" t="str">
        <f t="shared" si="7"/>
        <v>GT--</v>
      </c>
      <c r="H143" s="7" t="str">
        <f t="shared" si="8"/>
        <v>GT--</v>
      </c>
      <c r="I143" s="7">
        <f t="shared" si="6"/>
        <v>20</v>
      </c>
    </row>
    <row r="144" spans="1:9" ht="18.600000000000001" customHeight="1" x14ac:dyDescent="0.45">
      <c r="A144" s="8" t="s">
        <v>47</v>
      </c>
      <c r="B144" s="8" t="s">
        <v>309</v>
      </c>
      <c r="C144" s="8" t="s">
        <v>310</v>
      </c>
      <c r="D144" s="23" t="str">
        <f>IFERROR(VLOOKUP(A144,コード表２!$A$2:$B$294,2,FALSE),"")</f>
        <v>GT</v>
      </c>
      <c r="E144" s="23" t="str">
        <f>IFERROR(VLOOKUP(B144,コード表２!$E$2:$F$294,2,FALSE),"")</f>
        <v/>
      </c>
      <c r="F144" s="23" t="str">
        <f>IFERROR(VLOOKUP(C144,コード表２!$I$2:$J$294,2,FALSE),"")</f>
        <v/>
      </c>
      <c r="G144" s="23" t="str">
        <f t="shared" si="7"/>
        <v>GT--</v>
      </c>
      <c r="H144" s="7" t="str">
        <f t="shared" si="8"/>
        <v>GT--</v>
      </c>
      <c r="I144" s="7">
        <f t="shared" si="6"/>
        <v>20</v>
      </c>
    </row>
    <row r="145" spans="1:9" ht="18.600000000000001" customHeight="1" x14ac:dyDescent="0.45">
      <c r="A145" s="8" t="s">
        <v>47</v>
      </c>
      <c r="B145" s="8" t="s">
        <v>309</v>
      </c>
      <c r="C145" s="8" t="s">
        <v>310</v>
      </c>
      <c r="D145" s="23" t="str">
        <f>IFERROR(VLOOKUP(A145,コード表２!$A$2:$B$294,2,FALSE),"")</f>
        <v>GT</v>
      </c>
      <c r="E145" s="23" t="str">
        <f>IFERROR(VLOOKUP(B145,コード表２!$E$2:$F$294,2,FALSE),"")</f>
        <v/>
      </c>
      <c r="F145" s="23" t="str">
        <f>IFERROR(VLOOKUP(C145,コード表２!$I$2:$J$294,2,FALSE),"")</f>
        <v/>
      </c>
      <c r="G145" s="23" t="str">
        <f t="shared" si="7"/>
        <v>GT--</v>
      </c>
      <c r="H145" s="7" t="str">
        <f t="shared" si="8"/>
        <v>GT--</v>
      </c>
      <c r="I145" s="7">
        <f t="shared" si="6"/>
        <v>20</v>
      </c>
    </row>
    <row r="146" spans="1:9" ht="18.600000000000001" customHeight="1" x14ac:dyDescent="0.45">
      <c r="A146" s="8" t="s">
        <v>47</v>
      </c>
      <c r="B146" s="8" t="s">
        <v>309</v>
      </c>
      <c r="C146" s="8" t="s">
        <v>310</v>
      </c>
      <c r="D146" s="23" t="str">
        <f>IFERROR(VLOOKUP(A146,コード表２!$A$2:$B$294,2,FALSE),"")</f>
        <v>GT</v>
      </c>
      <c r="E146" s="23" t="str">
        <f>IFERROR(VLOOKUP(B146,コード表２!$E$2:$F$294,2,FALSE),"")</f>
        <v/>
      </c>
      <c r="F146" s="23" t="str">
        <f>IFERROR(VLOOKUP(C146,コード表２!$I$2:$J$294,2,FALSE),"")</f>
        <v/>
      </c>
      <c r="G146" s="23" t="str">
        <f t="shared" si="7"/>
        <v>GT--</v>
      </c>
      <c r="H146" s="7" t="str">
        <f t="shared" si="8"/>
        <v>GT--</v>
      </c>
      <c r="I146" s="7">
        <f t="shared" si="6"/>
        <v>20</v>
      </c>
    </row>
    <row r="147" spans="1:9" ht="18.600000000000001" customHeight="1" x14ac:dyDescent="0.45">
      <c r="A147" s="8" t="s">
        <v>47</v>
      </c>
      <c r="B147" s="8" t="s">
        <v>309</v>
      </c>
      <c r="C147" s="8" t="s">
        <v>312</v>
      </c>
      <c r="D147" s="23" t="str">
        <f>IFERROR(VLOOKUP(A147,コード表２!$A$2:$B$294,2,FALSE),"")</f>
        <v>GT</v>
      </c>
      <c r="E147" s="23" t="str">
        <f>IFERROR(VLOOKUP(B147,コード表２!$E$2:$F$294,2,FALSE),"")</f>
        <v/>
      </c>
      <c r="F147" s="23" t="str">
        <f>IFERROR(VLOOKUP(C147,コード表２!$I$2:$J$294,2,FALSE),"")</f>
        <v/>
      </c>
      <c r="G147" s="23" t="str">
        <f t="shared" si="7"/>
        <v>GT--</v>
      </c>
      <c r="H147" s="7" t="str">
        <f t="shared" si="8"/>
        <v>GT--</v>
      </c>
      <c r="I147" s="7">
        <f t="shared" si="6"/>
        <v>20</v>
      </c>
    </row>
    <row r="148" spans="1:9" ht="18.600000000000001" customHeight="1" x14ac:dyDescent="0.45">
      <c r="A148" s="8" t="s">
        <v>47</v>
      </c>
      <c r="B148" s="8" t="s">
        <v>309</v>
      </c>
      <c r="C148" s="8" t="s">
        <v>312</v>
      </c>
      <c r="D148" s="23" t="str">
        <f>IFERROR(VLOOKUP(A148,コード表２!$A$2:$B$294,2,FALSE),"")</f>
        <v>GT</v>
      </c>
      <c r="E148" s="23" t="str">
        <f>IFERROR(VLOOKUP(B148,コード表２!$E$2:$F$294,2,FALSE),"")</f>
        <v/>
      </c>
      <c r="F148" s="23" t="str">
        <f>IFERROR(VLOOKUP(C148,コード表２!$I$2:$J$294,2,FALSE),"")</f>
        <v/>
      </c>
      <c r="G148" s="23" t="str">
        <f t="shared" si="7"/>
        <v>GT--</v>
      </c>
      <c r="H148" s="7" t="str">
        <f t="shared" si="8"/>
        <v>GT--</v>
      </c>
      <c r="I148" s="7">
        <f t="shared" si="6"/>
        <v>20</v>
      </c>
    </row>
    <row r="149" spans="1:9" ht="18.600000000000001" customHeight="1" x14ac:dyDescent="0.45">
      <c r="A149" s="8" t="s">
        <v>47</v>
      </c>
      <c r="B149" s="8" t="s">
        <v>309</v>
      </c>
      <c r="C149" s="8" t="s">
        <v>312</v>
      </c>
      <c r="D149" s="23" t="str">
        <f>IFERROR(VLOOKUP(A149,コード表２!$A$2:$B$294,2,FALSE),"")</f>
        <v>GT</v>
      </c>
      <c r="E149" s="23" t="str">
        <f>IFERROR(VLOOKUP(B149,コード表２!$E$2:$F$294,2,FALSE),"")</f>
        <v/>
      </c>
      <c r="F149" s="23" t="str">
        <f>IFERROR(VLOOKUP(C149,コード表２!$I$2:$J$294,2,FALSE),"")</f>
        <v/>
      </c>
      <c r="G149" s="23" t="str">
        <f t="shared" si="7"/>
        <v>GT--</v>
      </c>
      <c r="H149" s="7" t="str">
        <f t="shared" si="8"/>
        <v>GT--</v>
      </c>
      <c r="I149" s="7">
        <f t="shared" si="6"/>
        <v>20</v>
      </c>
    </row>
    <row r="150" spans="1:9" ht="18.600000000000001" customHeight="1" x14ac:dyDescent="0.45">
      <c r="A150" s="8" t="s">
        <v>47</v>
      </c>
      <c r="B150" s="8" t="s">
        <v>309</v>
      </c>
      <c r="C150" s="8" t="s">
        <v>312</v>
      </c>
      <c r="D150" s="23" t="str">
        <f>IFERROR(VLOOKUP(A150,コード表２!$A$2:$B$294,2,FALSE),"")</f>
        <v>GT</v>
      </c>
      <c r="E150" s="23" t="str">
        <f>IFERROR(VLOOKUP(B150,コード表２!$E$2:$F$294,2,FALSE),"")</f>
        <v/>
      </c>
      <c r="F150" s="23" t="str">
        <f>IFERROR(VLOOKUP(C150,コード表２!$I$2:$J$294,2,FALSE),"")</f>
        <v/>
      </c>
      <c r="G150" s="23" t="str">
        <f t="shared" si="7"/>
        <v>GT--</v>
      </c>
      <c r="H150" s="7" t="str">
        <f t="shared" si="8"/>
        <v>GT--</v>
      </c>
      <c r="I150" s="7">
        <f t="shared" si="6"/>
        <v>20</v>
      </c>
    </row>
    <row r="151" spans="1:9" ht="18.600000000000001" customHeight="1" x14ac:dyDescent="0.45">
      <c r="A151" s="8" t="s">
        <v>47</v>
      </c>
      <c r="B151" s="8" t="s">
        <v>309</v>
      </c>
      <c r="C151" s="8" t="s">
        <v>312</v>
      </c>
      <c r="D151" s="23" t="str">
        <f>IFERROR(VLOOKUP(A151,コード表２!$A$2:$B$294,2,FALSE),"")</f>
        <v>GT</v>
      </c>
      <c r="E151" s="23" t="str">
        <f>IFERROR(VLOOKUP(B151,コード表２!$E$2:$F$294,2,FALSE),"")</f>
        <v/>
      </c>
      <c r="F151" s="23" t="str">
        <f>IFERROR(VLOOKUP(C151,コード表２!$I$2:$J$294,2,FALSE),"")</f>
        <v/>
      </c>
      <c r="G151" s="23" t="str">
        <f t="shared" si="7"/>
        <v>GT--</v>
      </c>
      <c r="H151" s="7" t="str">
        <f t="shared" si="8"/>
        <v>GT--</v>
      </c>
      <c r="I151" s="7">
        <f t="shared" si="6"/>
        <v>20</v>
      </c>
    </row>
    <row r="152" spans="1:9" ht="18.600000000000001" customHeight="1" x14ac:dyDescent="0.45">
      <c r="A152" s="8" t="s">
        <v>47</v>
      </c>
      <c r="B152" s="8" t="s">
        <v>309</v>
      </c>
      <c r="C152" s="8" t="s">
        <v>312</v>
      </c>
      <c r="D152" s="23" t="str">
        <f>IFERROR(VLOOKUP(A152,コード表２!$A$2:$B$294,2,FALSE),"")</f>
        <v>GT</v>
      </c>
      <c r="E152" s="23" t="str">
        <f>IFERROR(VLOOKUP(B152,コード表２!$E$2:$F$294,2,FALSE),"")</f>
        <v/>
      </c>
      <c r="F152" s="23" t="str">
        <f>IFERROR(VLOOKUP(C152,コード表２!$I$2:$J$294,2,FALSE),"")</f>
        <v/>
      </c>
      <c r="G152" s="23" t="str">
        <f t="shared" si="7"/>
        <v>GT--</v>
      </c>
      <c r="H152" s="7" t="str">
        <f t="shared" si="8"/>
        <v>GT--</v>
      </c>
      <c r="I152" s="7">
        <f t="shared" si="6"/>
        <v>20</v>
      </c>
    </row>
    <row r="153" spans="1:9" ht="18.600000000000001" customHeight="1" x14ac:dyDescent="0.45">
      <c r="A153" s="8" t="s">
        <v>47</v>
      </c>
      <c r="B153" s="8" t="s">
        <v>309</v>
      </c>
      <c r="C153" s="8" t="s">
        <v>312</v>
      </c>
      <c r="D153" s="23" t="str">
        <f>IFERROR(VLOOKUP(A153,コード表２!$A$2:$B$294,2,FALSE),"")</f>
        <v>GT</v>
      </c>
      <c r="E153" s="23" t="str">
        <f>IFERROR(VLOOKUP(B153,コード表２!$E$2:$F$294,2,FALSE),"")</f>
        <v/>
      </c>
      <c r="F153" s="23" t="str">
        <f>IFERROR(VLOOKUP(C153,コード表２!$I$2:$J$294,2,FALSE),"")</f>
        <v/>
      </c>
      <c r="G153" s="23" t="str">
        <f t="shared" si="7"/>
        <v>GT--</v>
      </c>
      <c r="H153" s="7" t="str">
        <f t="shared" si="8"/>
        <v>GT--</v>
      </c>
      <c r="I153" s="7">
        <f t="shared" si="6"/>
        <v>20</v>
      </c>
    </row>
    <row r="154" spans="1:9" ht="18.600000000000001" customHeight="1" x14ac:dyDescent="0.45">
      <c r="A154" s="8" t="s">
        <v>47</v>
      </c>
      <c r="B154" s="8" t="s">
        <v>309</v>
      </c>
      <c r="C154" s="8" t="s">
        <v>312</v>
      </c>
      <c r="D154" s="23" t="str">
        <f>IFERROR(VLOOKUP(A154,コード表２!$A$2:$B$294,2,FALSE),"")</f>
        <v>GT</v>
      </c>
      <c r="E154" s="23" t="str">
        <f>IFERROR(VLOOKUP(B154,コード表２!$E$2:$F$294,2,FALSE),"")</f>
        <v/>
      </c>
      <c r="F154" s="23" t="str">
        <f>IFERROR(VLOOKUP(C154,コード表２!$I$2:$J$294,2,FALSE),"")</f>
        <v/>
      </c>
      <c r="G154" s="23" t="str">
        <f t="shared" si="7"/>
        <v>GT--</v>
      </c>
      <c r="H154" s="7" t="str">
        <f t="shared" si="8"/>
        <v>GT--</v>
      </c>
      <c r="I154" s="7">
        <f t="shared" si="6"/>
        <v>20</v>
      </c>
    </row>
    <row r="155" spans="1:9" ht="18.600000000000001" customHeight="1" x14ac:dyDescent="0.45">
      <c r="A155" s="8" t="s">
        <v>47</v>
      </c>
      <c r="B155" s="8" t="s">
        <v>309</v>
      </c>
      <c r="C155" s="8" t="s">
        <v>312</v>
      </c>
      <c r="D155" s="23" t="str">
        <f>IFERROR(VLOOKUP(A155,コード表２!$A$2:$B$294,2,FALSE),"")</f>
        <v>GT</v>
      </c>
      <c r="E155" s="23" t="str">
        <f>IFERROR(VLOOKUP(B155,コード表２!$E$2:$F$294,2,FALSE),"")</f>
        <v/>
      </c>
      <c r="F155" s="23" t="str">
        <f>IFERROR(VLOOKUP(C155,コード表２!$I$2:$J$294,2,FALSE),"")</f>
        <v/>
      </c>
      <c r="G155" s="23" t="str">
        <f t="shared" si="7"/>
        <v>GT--</v>
      </c>
      <c r="H155" s="7" t="str">
        <f t="shared" si="8"/>
        <v>GT--</v>
      </c>
      <c r="I155" s="7">
        <f t="shared" si="6"/>
        <v>20</v>
      </c>
    </row>
    <row r="156" spans="1:9" ht="18.600000000000001" customHeight="1" x14ac:dyDescent="0.45">
      <c r="A156" s="8" t="s">
        <v>47</v>
      </c>
      <c r="B156" s="8" t="s">
        <v>309</v>
      </c>
      <c r="C156" s="8" t="s">
        <v>312</v>
      </c>
      <c r="D156" s="23" t="str">
        <f>IFERROR(VLOOKUP(A156,コード表２!$A$2:$B$294,2,FALSE),"")</f>
        <v>GT</v>
      </c>
      <c r="E156" s="23" t="str">
        <f>IFERROR(VLOOKUP(B156,コード表２!$E$2:$F$294,2,FALSE),"")</f>
        <v/>
      </c>
      <c r="F156" s="23" t="str">
        <f>IFERROR(VLOOKUP(C156,コード表２!$I$2:$J$294,2,FALSE),"")</f>
        <v/>
      </c>
      <c r="G156" s="23" t="str">
        <f t="shared" si="7"/>
        <v>GT--</v>
      </c>
      <c r="H156" s="7" t="str">
        <f t="shared" si="8"/>
        <v>GT--</v>
      </c>
      <c r="I156" s="7">
        <f t="shared" si="6"/>
        <v>20</v>
      </c>
    </row>
    <row r="157" spans="1:9" ht="18.600000000000001" customHeight="1" x14ac:dyDescent="0.45">
      <c r="A157" s="8" t="s">
        <v>47</v>
      </c>
      <c r="B157" s="8" t="s">
        <v>309</v>
      </c>
      <c r="C157" s="8" t="s">
        <v>312</v>
      </c>
      <c r="D157" s="23" t="str">
        <f>IFERROR(VLOOKUP(A157,コード表２!$A$2:$B$294,2,FALSE),"")</f>
        <v>GT</v>
      </c>
      <c r="E157" s="23" t="str">
        <f>IFERROR(VLOOKUP(B157,コード表２!$E$2:$F$294,2,FALSE),"")</f>
        <v/>
      </c>
      <c r="F157" s="23" t="str">
        <f>IFERROR(VLOOKUP(C157,コード表２!$I$2:$J$294,2,FALSE),"")</f>
        <v/>
      </c>
      <c r="G157" s="23" t="str">
        <f t="shared" si="7"/>
        <v>GT--</v>
      </c>
      <c r="H157" s="7" t="str">
        <f t="shared" si="8"/>
        <v>GT--</v>
      </c>
      <c r="I157" s="7">
        <f t="shared" si="6"/>
        <v>20</v>
      </c>
    </row>
    <row r="158" spans="1:9" ht="18.600000000000001" customHeight="1" x14ac:dyDescent="0.45">
      <c r="A158" s="8"/>
      <c r="B158" s="8"/>
      <c r="C158" s="8"/>
      <c r="D158" s="23" t="str">
        <f>IFERROR(VLOOKUP(A158,コード表２!$A$2:$B$294,2,FALSE),"")</f>
        <v/>
      </c>
      <c r="E158" s="23" t="str">
        <f>IFERROR(VLOOKUP(B158,コード表２!$E$2:$F$294,2,FALSE),"")</f>
        <v/>
      </c>
      <c r="F158" s="23" t="str">
        <f>IFERROR(VLOOKUP(C158,コード表２!$I$2:$J$294,2,FALSE),"")</f>
        <v/>
      </c>
      <c r="G158" s="23" t="str">
        <f t="shared" si="7"/>
        <v/>
      </c>
      <c r="H158" s="7" t="str">
        <f t="shared" si="8"/>
        <v/>
      </c>
      <c r="I158" s="7" t="str">
        <f t="shared" si="6"/>
        <v/>
      </c>
    </row>
    <row r="159" spans="1:9" ht="18.600000000000001" customHeight="1" x14ac:dyDescent="0.45">
      <c r="A159" s="8"/>
      <c r="B159" s="8"/>
      <c r="C159" s="8"/>
      <c r="D159" s="23" t="str">
        <f>IFERROR(VLOOKUP(A159,コード表２!$A$2:$B$294,2,FALSE),"")</f>
        <v/>
      </c>
      <c r="E159" s="23" t="str">
        <f>IFERROR(VLOOKUP(B159,コード表２!$E$2:$F$294,2,FALSE),"")</f>
        <v/>
      </c>
      <c r="F159" s="23" t="str">
        <f>IFERROR(VLOOKUP(C159,コード表２!$I$2:$J$294,2,FALSE),"")</f>
        <v/>
      </c>
      <c r="G159" s="23" t="str">
        <f t="shared" si="7"/>
        <v/>
      </c>
      <c r="H159" s="7" t="str">
        <f t="shared" si="8"/>
        <v/>
      </c>
      <c r="I159" s="7" t="str">
        <f t="shared" si="6"/>
        <v/>
      </c>
    </row>
    <row r="160" spans="1:9" ht="18.600000000000001" customHeight="1" x14ac:dyDescent="0.45">
      <c r="A160" s="8"/>
      <c r="B160" s="8"/>
      <c r="C160" s="8"/>
      <c r="D160" s="23" t="str">
        <f>IFERROR(VLOOKUP(A160,コード表２!$A$2:$B$294,2,FALSE),"")</f>
        <v/>
      </c>
      <c r="E160" s="23" t="str">
        <f>IFERROR(VLOOKUP(B160,コード表２!$E$2:$F$294,2,FALSE),"")</f>
        <v/>
      </c>
      <c r="F160" s="23" t="str">
        <f>IFERROR(VLOOKUP(C160,コード表２!$I$2:$J$294,2,FALSE),"")</f>
        <v/>
      </c>
      <c r="G160" s="23" t="str">
        <f t="shared" si="7"/>
        <v/>
      </c>
      <c r="H160" s="7" t="str">
        <f t="shared" si="8"/>
        <v/>
      </c>
      <c r="I160" s="7" t="str">
        <f t="shared" si="6"/>
        <v/>
      </c>
    </row>
    <row r="161" spans="1:13" ht="18.600000000000001" customHeight="1" x14ac:dyDescent="0.45">
      <c r="A161" s="8"/>
      <c r="B161" s="8"/>
      <c r="C161" s="8"/>
      <c r="D161" s="23" t="str">
        <f>IFERROR(VLOOKUP(A161,コード表２!$A$2:$B$294,2,FALSE),"")</f>
        <v/>
      </c>
      <c r="E161" s="23" t="str">
        <f>IFERROR(VLOOKUP(B161,コード表２!$E$2:$F$294,2,FALSE),"")</f>
        <v/>
      </c>
      <c r="F161" s="23" t="str">
        <f>IFERROR(VLOOKUP(C161,コード表２!$I$2:$J$294,2,FALSE),"")</f>
        <v/>
      </c>
      <c r="G161" s="23" t="str">
        <f t="shared" si="7"/>
        <v/>
      </c>
      <c r="H161" s="7" t="str">
        <f t="shared" si="8"/>
        <v/>
      </c>
      <c r="I161" s="7" t="str">
        <f t="shared" si="6"/>
        <v/>
      </c>
    </row>
    <row r="162" spans="1:13" ht="18.600000000000001" customHeight="1" x14ac:dyDescent="0.45">
      <c r="A162" s="8"/>
      <c r="B162" s="8"/>
      <c r="C162" s="8"/>
      <c r="D162" s="23" t="str">
        <f>IFERROR(VLOOKUP(A162,コード表２!$A$2:$B$294,2,FALSE),"")</f>
        <v/>
      </c>
      <c r="E162" s="23" t="str">
        <f>IFERROR(VLOOKUP(B162,コード表２!$E$2:$F$294,2,FALSE),"")</f>
        <v/>
      </c>
      <c r="F162" s="23" t="str">
        <f>IFERROR(VLOOKUP(C162,コード表２!$I$2:$J$294,2,FALSE),"")</f>
        <v/>
      </c>
      <c r="G162" s="23" t="str">
        <f t="shared" si="7"/>
        <v/>
      </c>
      <c r="H162" s="7" t="str">
        <f t="shared" si="8"/>
        <v/>
      </c>
      <c r="I162" s="7" t="str">
        <f t="shared" si="6"/>
        <v/>
      </c>
    </row>
    <row r="163" spans="1:13" ht="18.600000000000001" customHeight="1" x14ac:dyDescent="0.45">
      <c r="A163" s="8"/>
      <c r="B163" s="8"/>
      <c r="C163" s="8"/>
      <c r="D163" s="23" t="str">
        <f>IFERROR(VLOOKUP(A163,コード表２!$A$2:$B$294,2,FALSE),"")</f>
        <v/>
      </c>
      <c r="E163" s="23" t="str">
        <f>IFERROR(VLOOKUP(B163,コード表２!$E$2:$F$294,2,FALSE),"")</f>
        <v/>
      </c>
      <c r="F163" s="23" t="str">
        <f>IFERROR(VLOOKUP(C163,コード表２!$I$2:$J$294,2,FALSE),"")</f>
        <v/>
      </c>
      <c r="G163" s="23" t="str">
        <f t="shared" si="7"/>
        <v/>
      </c>
      <c r="H163" s="7" t="str">
        <f t="shared" si="8"/>
        <v/>
      </c>
      <c r="I163" s="7" t="str">
        <f t="shared" si="6"/>
        <v/>
      </c>
    </row>
    <row r="164" spans="1:13" ht="18.600000000000001" customHeight="1" x14ac:dyDescent="0.45">
      <c r="A164" s="8"/>
      <c r="B164" s="8"/>
      <c r="C164" s="8"/>
      <c r="D164" s="23" t="str">
        <f>IFERROR(VLOOKUP(A164,コード表２!$A$2:$B$294,2,FALSE),"")</f>
        <v/>
      </c>
      <c r="E164" s="23" t="str">
        <f>IFERROR(VLOOKUP(B164,コード表２!$E$2:$F$294,2,FALSE),"")</f>
        <v/>
      </c>
      <c r="F164" s="23" t="str">
        <f>IFERROR(VLOOKUP(C164,コード表２!$I$2:$J$294,2,FALSE),"")</f>
        <v/>
      </c>
      <c r="G164" s="23" t="str">
        <f t="shared" si="7"/>
        <v/>
      </c>
      <c r="H164" s="7" t="str">
        <f t="shared" si="8"/>
        <v/>
      </c>
      <c r="I164" s="7" t="str">
        <f t="shared" si="6"/>
        <v/>
      </c>
    </row>
    <row r="165" spans="1:13" ht="18.600000000000001" customHeight="1" x14ac:dyDescent="0.45">
      <c r="A165" s="8"/>
      <c r="B165" s="8"/>
      <c r="C165" s="8"/>
      <c r="D165" s="23" t="str">
        <f>IFERROR(VLOOKUP(A165,コード表２!$A$2:$B$294,2,FALSE),"")</f>
        <v/>
      </c>
      <c r="E165" s="23" t="str">
        <f>IFERROR(VLOOKUP(B165,コード表２!$E$2:$F$294,2,FALSE),"")</f>
        <v/>
      </c>
      <c r="F165" s="23" t="str">
        <f>IFERROR(VLOOKUP(C165,コード表２!$I$2:$J$294,2,FALSE),"")</f>
        <v/>
      </c>
      <c r="G165" s="23" t="str">
        <f t="shared" si="7"/>
        <v/>
      </c>
      <c r="H165" s="7" t="str">
        <f t="shared" si="8"/>
        <v/>
      </c>
      <c r="I165" s="7" t="str">
        <f t="shared" si="6"/>
        <v/>
      </c>
    </row>
    <row r="166" spans="1:13" ht="18.600000000000001" customHeight="1" x14ac:dyDescent="0.45">
      <c r="A166" s="8"/>
      <c r="B166" s="8"/>
      <c r="C166" s="8"/>
      <c r="D166" s="23" t="str">
        <f>IFERROR(VLOOKUP(A166,コード表２!$A$2:$B$294,2,FALSE),"")</f>
        <v/>
      </c>
      <c r="E166" s="23" t="str">
        <f>IFERROR(VLOOKUP(B166,コード表２!$E$2:$F$294,2,FALSE),"")</f>
        <v/>
      </c>
      <c r="F166" s="23" t="str">
        <f>IFERROR(VLOOKUP(C166,コード表２!$I$2:$J$294,2,FALSE),"")</f>
        <v/>
      </c>
      <c r="G166" s="23" t="str">
        <f t="shared" si="7"/>
        <v/>
      </c>
      <c r="H166" s="7" t="str">
        <f t="shared" si="8"/>
        <v/>
      </c>
      <c r="I166" s="7" t="str">
        <f t="shared" si="6"/>
        <v/>
      </c>
    </row>
    <row r="167" spans="1:13" ht="18.600000000000001" customHeight="1" x14ac:dyDescent="0.45">
      <c r="A167" s="8"/>
      <c r="B167" s="8"/>
      <c r="C167" s="8"/>
      <c r="D167" s="23" t="str">
        <f>IFERROR(VLOOKUP(A167,コード表２!$A$2:$B$294,2,FALSE),"")</f>
        <v/>
      </c>
      <c r="E167" s="23" t="str">
        <f>IFERROR(VLOOKUP(B167,コード表２!$E$2:$F$294,2,FALSE),"")</f>
        <v/>
      </c>
      <c r="F167" s="23" t="str">
        <f>IFERROR(VLOOKUP(C167,コード表２!$I$2:$J$294,2,FALSE),"")</f>
        <v/>
      </c>
      <c r="G167" s="23" t="str">
        <f t="shared" si="7"/>
        <v/>
      </c>
      <c r="H167" s="7" t="str">
        <f t="shared" si="8"/>
        <v/>
      </c>
      <c r="I167" s="7" t="str">
        <f t="shared" si="6"/>
        <v/>
      </c>
    </row>
    <row r="168" spans="1:13" ht="18.600000000000001" customHeight="1" x14ac:dyDescent="0.45">
      <c r="A168" s="8"/>
      <c r="B168" s="8"/>
      <c r="C168" s="8"/>
      <c r="D168" s="23" t="str">
        <f>IFERROR(VLOOKUP(A168,コード表２!$A$2:$B$294,2,FALSE),"")</f>
        <v/>
      </c>
      <c r="E168" s="23" t="str">
        <f>IFERROR(VLOOKUP(B168,コード表２!$E$2:$F$294,2,FALSE),"")</f>
        <v/>
      </c>
      <c r="F168" s="23" t="str">
        <f>IFERROR(VLOOKUP(C168,コード表２!$I$2:$J$294,2,FALSE),"")</f>
        <v/>
      </c>
      <c r="G168" s="23" t="str">
        <f t="shared" si="7"/>
        <v/>
      </c>
      <c r="H168" s="7" t="str">
        <f t="shared" si="8"/>
        <v/>
      </c>
      <c r="I168" s="7" t="str">
        <f t="shared" si="6"/>
        <v/>
      </c>
    </row>
    <row r="169" spans="1:13" ht="18.600000000000001" customHeight="1" x14ac:dyDescent="0.45">
      <c r="A169" s="8"/>
      <c r="B169" s="8"/>
      <c r="C169" s="8"/>
      <c r="D169" s="23" t="str">
        <f>IFERROR(VLOOKUP(A169,コード表２!$A$2:$B$294,2,FALSE),"")</f>
        <v/>
      </c>
      <c r="E169" s="23" t="str">
        <f>IFERROR(VLOOKUP(B169,コード表２!$E$2:$F$294,2,FALSE),"")</f>
        <v/>
      </c>
      <c r="F169" s="23" t="str">
        <f>IFERROR(VLOOKUP(C169,コード表２!$I$2:$J$294,2,FALSE),"")</f>
        <v/>
      </c>
      <c r="G169" s="23" t="str">
        <f t="shared" si="7"/>
        <v/>
      </c>
      <c r="H169" s="7" t="str">
        <f t="shared" si="8"/>
        <v/>
      </c>
      <c r="I169" s="7" t="str">
        <f t="shared" si="6"/>
        <v/>
      </c>
    </row>
    <row r="170" spans="1:13" ht="18.600000000000001" customHeight="1" x14ac:dyDescent="0.45">
      <c r="A170" s="8"/>
      <c r="B170" s="8"/>
      <c r="C170" s="8"/>
      <c r="D170" s="23" t="str">
        <f>IFERROR(VLOOKUP(A170,コード表２!$A$2:$B$294,2,FALSE),"")</f>
        <v/>
      </c>
      <c r="E170" s="23" t="str">
        <f>IFERROR(VLOOKUP(B170,コード表２!$E$2:$F$294,2,FALSE),"")</f>
        <v/>
      </c>
      <c r="F170" s="23" t="str">
        <f>IFERROR(VLOOKUP(C170,コード表２!$I$2:$J$294,2,FALSE),"")</f>
        <v/>
      </c>
      <c r="G170" s="23" t="str">
        <f t="shared" si="7"/>
        <v/>
      </c>
      <c r="H170" s="7" t="str">
        <f t="shared" si="8"/>
        <v/>
      </c>
      <c r="I170" s="7" t="str">
        <f t="shared" si="6"/>
        <v/>
      </c>
    </row>
    <row r="171" spans="1:13" ht="18.600000000000001" customHeight="1" x14ac:dyDescent="0.45">
      <c r="A171" s="8"/>
      <c r="B171" s="8"/>
      <c r="C171" s="8"/>
      <c r="D171" s="23" t="str">
        <f>IFERROR(VLOOKUP(A171,コード表２!$A$2:$B$294,2,FALSE),"")</f>
        <v/>
      </c>
      <c r="E171" s="23" t="str">
        <f>IFERROR(VLOOKUP(B171,コード表２!$E$2:$F$294,2,FALSE),"")</f>
        <v/>
      </c>
      <c r="F171" s="23" t="str">
        <f>IFERROR(VLOOKUP(C171,コード表２!$I$2:$J$294,2,FALSE),"")</f>
        <v/>
      </c>
      <c r="G171" s="23" t="str">
        <f t="shared" si="7"/>
        <v/>
      </c>
      <c r="H171" s="7" t="str">
        <f t="shared" si="8"/>
        <v/>
      </c>
      <c r="I171" s="7" t="str">
        <f t="shared" si="6"/>
        <v/>
      </c>
    </row>
    <row r="172" spans="1:13" ht="18.600000000000001" customHeight="1" x14ac:dyDescent="0.45">
      <c r="A172" s="8"/>
      <c r="B172" s="8"/>
      <c r="C172" s="8"/>
      <c r="D172" s="23" t="str">
        <f>IFERROR(VLOOKUP(A172,コード表２!$A$2:$B$294,2,FALSE),"")</f>
        <v/>
      </c>
      <c r="E172" s="23" t="str">
        <f>IFERROR(VLOOKUP(B172,コード表２!$E$2:$F$294,2,FALSE),"")</f>
        <v/>
      </c>
      <c r="F172" s="23" t="str">
        <f>IFERROR(VLOOKUP(C172,コード表２!$I$2:$J$294,2,FALSE),"")</f>
        <v/>
      </c>
      <c r="G172" s="23" t="str">
        <f t="shared" si="7"/>
        <v/>
      </c>
      <c r="H172" s="7" t="str">
        <f t="shared" si="8"/>
        <v/>
      </c>
      <c r="I172" s="7" t="str">
        <f t="shared" si="6"/>
        <v/>
      </c>
    </row>
    <row r="173" spans="1:13" ht="18.600000000000001" customHeight="1" x14ac:dyDescent="0.45">
      <c r="A173" s="8"/>
      <c r="B173" s="8"/>
      <c r="C173" s="8"/>
      <c r="D173" s="23" t="str">
        <f>IFERROR(VLOOKUP(A173,コード表２!$A$2:$B$294,2,FALSE),"")</f>
        <v/>
      </c>
      <c r="E173" s="23" t="str">
        <f>IFERROR(VLOOKUP(B173,コード表２!$E$2:$F$294,2,FALSE),"")</f>
        <v/>
      </c>
      <c r="F173" s="23" t="str">
        <f>IFERROR(VLOOKUP(C173,コード表２!$I$2:$J$294,2,FALSE),"")</f>
        <v/>
      </c>
      <c r="G173" s="23" t="str">
        <f t="shared" si="7"/>
        <v/>
      </c>
      <c r="H173" s="7" t="str">
        <f t="shared" si="8"/>
        <v/>
      </c>
      <c r="I173" s="7" t="str">
        <f t="shared" si="6"/>
        <v/>
      </c>
    </row>
    <row r="174" spans="1:13" ht="18.600000000000001" customHeight="1" x14ac:dyDescent="0.45">
      <c r="A174" s="8"/>
      <c r="B174" s="8"/>
      <c r="C174" s="8"/>
      <c r="D174" s="23" t="str">
        <f>IFERROR(VLOOKUP(A174,コード表２!$A$2:$B$294,2,FALSE),"")</f>
        <v/>
      </c>
      <c r="E174" s="23" t="str">
        <f>IFERROR(VLOOKUP(B174,コード表２!$E$2:$F$294,2,FALSE),"")</f>
        <v/>
      </c>
      <c r="F174" s="23" t="str">
        <f>IFERROR(VLOOKUP(C174,コード表２!$I$2:$J$294,2,FALSE),"")</f>
        <v/>
      </c>
      <c r="G174" s="23" t="str">
        <f t="shared" si="7"/>
        <v/>
      </c>
      <c r="H174" s="7" t="str">
        <f t="shared" si="8"/>
        <v/>
      </c>
      <c r="I174" s="7" t="str">
        <f t="shared" si="6"/>
        <v/>
      </c>
    </row>
    <row r="175" spans="1:13" ht="18.600000000000001" customHeight="1" x14ac:dyDescent="0.45">
      <c r="A175" s="8"/>
      <c r="B175" s="8"/>
      <c r="C175" s="8"/>
      <c r="D175" s="23" t="str">
        <f>IFERROR(VLOOKUP(A175,コード表２!$A$2:$B$294,2,FALSE),"")</f>
        <v/>
      </c>
      <c r="E175" s="23" t="str">
        <f>IFERROR(VLOOKUP(B175,コード表２!$E$2:$F$294,2,FALSE),"")</f>
        <v/>
      </c>
      <c r="F175" s="23" t="str">
        <f>IFERROR(VLOOKUP(C175,コード表２!$I$2:$J$294,2,FALSE),"")</f>
        <v/>
      </c>
      <c r="G175" s="23" t="str">
        <f t="shared" si="7"/>
        <v/>
      </c>
      <c r="H175" s="7" t="str">
        <f t="shared" si="8"/>
        <v/>
      </c>
      <c r="I175" s="7" t="str">
        <f t="shared" si="6"/>
        <v/>
      </c>
    </row>
    <row r="176" spans="1:13" ht="18.600000000000001" customHeight="1" x14ac:dyDescent="0.45">
      <c r="A176" s="8"/>
      <c r="B176" s="8"/>
      <c r="C176" s="8"/>
      <c r="D176" s="23" t="str">
        <f>IFERROR(VLOOKUP(A176,コード表２!$A$2:$B$294,2,FALSE),"")</f>
        <v/>
      </c>
      <c r="E176" s="23" t="str">
        <f>IFERROR(VLOOKUP(B176,コード表２!$E$2:$F$294,2,FALSE),"")</f>
        <v/>
      </c>
      <c r="F176" s="23" t="str">
        <f>IFERROR(VLOOKUP(C176,コード表２!$I$2:$J$294,2,FALSE),"")</f>
        <v/>
      </c>
      <c r="G176" s="23" t="str">
        <f t="shared" si="7"/>
        <v/>
      </c>
      <c r="H176" s="7" t="str">
        <f t="shared" si="8"/>
        <v/>
      </c>
      <c r="I176" s="7" t="str">
        <f t="shared" si="6"/>
        <v/>
      </c>
      <c r="J176" s="3"/>
      <c r="K176" s="3"/>
      <c r="L176" s="3"/>
      <c r="M176" s="3"/>
    </row>
    <row r="177" spans="1:13" ht="18.600000000000001" customHeight="1" x14ac:dyDescent="0.45">
      <c r="A177" s="8"/>
      <c r="B177" s="8"/>
      <c r="C177" s="8"/>
      <c r="D177" s="23" t="str">
        <f>IFERROR(VLOOKUP(A177,コード表２!$A$2:$B$294,2,FALSE),"")</f>
        <v/>
      </c>
      <c r="E177" s="23" t="str">
        <f>IFERROR(VLOOKUP(B177,コード表２!$E$2:$F$294,2,FALSE),"")</f>
        <v/>
      </c>
      <c r="F177" s="23" t="str">
        <f>IFERROR(VLOOKUP(C177,コード表２!$I$2:$J$294,2,FALSE),"")</f>
        <v/>
      </c>
      <c r="G177" s="23" t="str">
        <f t="shared" si="7"/>
        <v/>
      </c>
      <c r="H177" s="7" t="str">
        <f t="shared" si="8"/>
        <v/>
      </c>
      <c r="I177" s="7" t="str">
        <f t="shared" si="6"/>
        <v/>
      </c>
      <c r="J177" s="3"/>
      <c r="K177" s="3"/>
      <c r="L177" s="3"/>
      <c r="M177" s="3"/>
    </row>
    <row r="178" spans="1:13" ht="18.600000000000001" customHeight="1" x14ac:dyDescent="0.45">
      <c r="A178" s="8"/>
      <c r="B178" s="8"/>
      <c r="C178" s="8"/>
      <c r="D178" s="23" t="str">
        <f>IFERROR(VLOOKUP(A178,コード表２!$A$2:$B$294,2,FALSE),"")</f>
        <v/>
      </c>
      <c r="E178" s="23" t="str">
        <f>IFERROR(VLOOKUP(B178,コード表２!$E$2:$F$294,2,FALSE),"")</f>
        <v/>
      </c>
      <c r="F178" s="23" t="str">
        <f>IFERROR(VLOOKUP(C178,コード表２!$I$2:$J$294,2,FALSE),"")</f>
        <v/>
      </c>
      <c r="G178" s="23" t="str">
        <f t="shared" si="7"/>
        <v/>
      </c>
      <c r="H178" s="7" t="str">
        <f t="shared" si="8"/>
        <v/>
      </c>
      <c r="I178" s="7" t="str">
        <f t="shared" si="6"/>
        <v/>
      </c>
      <c r="J178" s="5"/>
      <c r="K178" s="3"/>
      <c r="L178" s="5"/>
      <c r="M178" s="3"/>
    </row>
    <row r="179" spans="1:13" ht="18.600000000000001" customHeight="1" x14ac:dyDescent="0.45">
      <c r="A179" s="8"/>
      <c r="B179" s="8"/>
      <c r="C179" s="8"/>
      <c r="D179" s="23" t="str">
        <f>IFERROR(VLOOKUP(A179,コード表２!$A$2:$B$294,2,FALSE),"")</f>
        <v/>
      </c>
      <c r="E179" s="23" t="str">
        <f>IFERROR(VLOOKUP(B179,コード表２!$E$2:$F$294,2,FALSE),"")</f>
        <v/>
      </c>
      <c r="F179" s="23" t="str">
        <f>IFERROR(VLOOKUP(C179,コード表２!$I$2:$J$294,2,FALSE),"")</f>
        <v/>
      </c>
      <c r="G179" s="23" t="str">
        <f t="shared" si="7"/>
        <v/>
      </c>
      <c r="H179" s="7" t="str">
        <f t="shared" si="8"/>
        <v/>
      </c>
      <c r="I179" s="7" t="str">
        <f t="shared" si="6"/>
        <v/>
      </c>
      <c r="J179" s="3"/>
      <c r="K179" s="3"/>
      <c r="L179" s="3"/>
      <c r="M179" s="3"/>
    </row>
    <row r="180" spans="1:13" ht="18.600000000000001" customHeight="1" x14ac:dyDescent="0.45">
      <c r="A180" s="8"/>
      <c r="B180" s="8"/>
      <c r="C180" s="8"/>
      <c r="D180" s="23" t="str">
        <f>IFERROR(VLOOKUP(A180,コード表２!$A$2:$B$294,2,FALSE),"")</f>
        <v/>
      </c>
      <c r="E180" s="23" t="str">
        <f>IFERROR(VLOOKUP(B180,コード表２!$E$2:$F$294,2,FALSE),"")</f>
        <v/>
      </c>
      <c r="F180" s="23" t="str">
        <f>IFERROR(VLOOKUP(C180,コード表２!$I$2:$J$294,2,FALSE),"")</f>
        <v/>
      </c>
      <c r="G180" s="23" t="str">
        <f t="shared" si="7"/>
        <v/>
      </c>
      <c r="H180" s="7" t="str">
        <f t="shared" si="8"/>
        <v/>
      </c>
      <c r="I180" s="7" t="str">
        <f t="shared" si="6"/>
        <v/>
      </c>
      <c r="J180" s="3"/>
      <c r="K180" s="3"/>
      <c r="L180" s="3"/>
      <c r="M180" s="3"/>
    </row>
    <row r="181" spans="1:13" ht="18.600000000000001" customHeight="1" x14ac:dyDescent="0.45">
      <c r="A181" s="8"/>
      <c r="B181" s="8"/>
      <c r="C181" s="8"/>
      <c r="D181" s="23" t="str">
        <f>IFERROR(VLOOKUP(A181,コード表２!$A$2:$B$294,2,FALSE),"")</f>
        <v/>
      </c>
      <c r="E181" s="23" t="str">
        <f>IFERROR(VLOOKUP(B181,コード表２!$E$2:$F$294,2,FALSE),"")</f>
        <v/>
      </c>
      <c r="F181" s="23" t="str">
        <f>IFERROR(VLOOKUP(C181,コード表２!$I$2:$J$294,2,FALSE),"")</f>
        <v/>
      </c>
      <c r="G181" s="23" t="str">
        <f t="shared" si="7"/>
        <v/>
      </c>
      <c r="H181" s="7" t="str">
        <f t="shared" si="8"/>
        <v/>
      </c>
      <c r="I181" s="7" t="str">
        <f t="shared" si="6"/>
        <v/>
      </c>
    </row>
    <row r="182" spans="1:13" ht="18.600000000000001" customHeight="1" x14ac:dyDescent="0.45">
      <c r="A182" s="8"/>
      <c r="B182" s="8"/>
      <c r="C182" s="8"/>
      <c r="D182" s="23" t="str">
        <f>IFERROR(VLOOKUP(A182,コード表２!$A$2:$B$294,2,FALSE),"")</f>
        <v/>
      </c>
      <c r="E182" s="23" t="str">
        <f>IFERROR(VLOOKUP(B182,コード表２!$E$2:$F$294,2,FALSE),"")</f>
        <v/>
      </c>
      <c r="F182" s="23" t="str">
        <f>IFERROR(VLOOKUP(C182,コード表２!$I$2:$J$294,2,FALSE),"")</f>
        <v/>
      </c>
      <c r="G182" s="23" t="str">
        <f t="shared" si="7"/>
        <v/>
      </c>
      <c r="H182" s="7" t="str">
        <f t="shared" si="8"/>
        <v/>
      </c>
      <c r="I182" s="7" t="str">
        <f t="shared" si="6"/>
        <v/>
      </c>
    </row>
    <row r="183" spans="1:13" ht="18.600000000000001" customHeight="1" x14ac:dyDescent="0.45">
      <c r="A183" s="8"/>
      <c r="B183" s="8"/>
      <c r="C183" s="8"/>
      <c r="D183" s="23" t="str">
        <f>IFERROR(VLOOKUP(A183,コード表２!$A$2:$B$294,2,FALSE),"")</f>
        <v/>
      </c>
      <c r="E183" s="23" t="str">
        <f>IFERROR(VLOOKUP(B183,コード表２!$E$2:$F$294,2,FALSE),"")</f>
        <v/>
      </c>
      <c r="F183" s="23" t="str">
        <f>IFERROR(VLOOKUP(C183,コード表２!$I$2:$J$294,2,FALSE),"")</f>
        <v/>
      </c>
      <c r="G183" s="23" t="str">
        <f t="shared" si="7"/>
        <v/>
      </c>
      <c r="H183" s="7" t="str">
        <f t="shared" si="8"/>
        <v/>
      </c>
      <c r="I183" s="7" t="str">
        <f t="shared" si="6"/>
        <v/>
      </c>
    </row>
    <row r="184" spans="1:13" ht="18.600000000000001" customHeight="1" x14ac:dyDescent="0.45">
      <c r="A184" s="8"/>
      <c r="B184" s="8"/>
      <c r="C184" s="8"/>
      <c r="D184" s="23" t="str">
        <f>IFERROR(VLOOKUP(A184,コード表２!$A$2:$B$294,2,FALSE),"")</f>
        <v/>
      </c>
      <c r="E184" s="23" t="str">
        <f>IFERROR(VLOOKUP(B184,コード表２!$E$2:$F$294,2,FALSE),"")</f>
        <v/>
      </c>
      <c r="F184" s="23" t="str">
        <f>IFERROR(VLOOKUP(C184,コード表２!$I$2:$J$294,2,FALSE),"")</f>
        <v/>
      </c>
      <c r="G184" s="23" t="str">
        <f t="shared" si="7"/>
        <v/>
      </c>
      <c r="H184" s="7" t="str">
        <f t="shared" si="8"/>
        <v/>
      </c>
      <c r="I184" s="7" t="str">
        <f t="shared" si="6"/>
        <v/>
      </c>
    </row>
    <row r="185" spans="1:13" ht="18.600000000000001" customHeight="1" x14ac:dyDescent="0.45">
      <c r="A185" s="8"/>
      <c r="B185" s="8"/>
      <c r="C185" s="8"/>
      <c r="D185" s="23" t="str">
        <f>IFERROR(VLOOKUP(A185,コード表２!$A$2:$B$294,2,FALSE),"")</f>
        <v/>
      </c>
      <c r="E185" s="23" t="str">
        <f>IFERROR(VLOOKUP(B185,コード表２!$E$2:$F$294,2,FALSE),"")</f>
        <v/>
      </c>
      <c r="F185" s="23" t="str">
        <f>IFERROR(VLOOKUP(C185,コード表２!$I$2:$J$294,2,FALSE),"")</f>
        <v/>
      </c>
      <c r="G185" s="23" t="str">
        <f t="shared" si="7"/>
        <v/>
      </c>
      <c r="H185" s="7" t="str">
        <f t="shared" si="8"/>
        <v/>
      </c>
      <c r="I185" s="7" t="str">
        <f t="shared" si="6"/>
        <v/>
      </c>
    </row>
    <row r="186" spans="1:13" ht="18.600000000000001" customHeight="1" x14ac:dyDescent="0.45">
      <c r="A186" s="8"/>
      <c r="B186" s="8"/>
      <c r="C186" s="8"/>
      <c r="D186" s="23" t="str">
        <f>IFERROR(VLOOKUP(A186,コード表２!$A$2:$B$294,2,FALSE),"")</f>
        <v/>
      </c>
      <c r="E186" s="23" t="str">
        <f>IFERROR(VLOOKUP(B186,コード表２!$E$2:$F$294,2,FALSE),"")</f>
        <v/>
      </c>
      <c r="F186" s="23" t="str">
        <f>IFERROR(VLOOKUP(C186,コード表２!$I$2:$J$294,2,FALSE),"")</f>
        <v/>
      </c>
      <c r="G186" s="23" t="str">
        <f t="shared" si="7"/>
        <v/>
      </c>
      <c r="H186" s="7" t="str">
        <f t="shared" si="8"/>
        <v/>
      </c>
      <c r="I186" s="7" t="str">
        <f t="shared" si="6"/>
        <v/>
      </c>
    </row>
    <row r="187" spans="1:13" ht="18.600000000000001" customHeight="1" x14ac:dyDescent="0.45">
      <c r="A187" s="8"/>
      <c r="B187" s="8"/>
      <c r="C187" s="8"/>
      <c r="D187" s="23" t="str">
        <f>IFERROR(VLOOKUP(A187,コード表２!$A$2:$B$294,2,FALSE),"")</f>
        <v/>
      </c>
      <c r="E187" s="23" t="str">
        <f>IFERROR(VLOOKUP(B187,コード表２!$E$2:$F$294,2,FALSE),"")</f>
        <v/>
      </c>
      <c r="F187" s="23" t="str">
        <f>IFERROR(VLOOKUP(C187,コード表２!$I$2:$J$294,2,FALSE),"")</f>
        <v/>
      </c>
      <c r="G187" s="23" t="str">
        <f t="shared" si="7"/>
        <v/>
      </c>
      <c r="H187" s="7" t="str">
        <f t="shared" si="8"/>
        <v/>
      </c>
      <c r="I187" s="7" t="str">
        <f t="shared" si="6"/>
        <v/>
      </c>
    </row>
    <row r="188" spans="1:13" ht="18.600000000000001" customHeight="1" x14ac:dyDescent="0.45">
      <c r="A188" s="8"/>
      <c r="B188" s="8"/>
      <c r="C188" s="8"/>
      <c r="D188" s="23" t="str">
        <f>IFERROR(VLOOKUP(A188,コード表２!$A$2:$B$294,2,FALSE),"")</f>
        <v/>
      </c>
      <c r="E188" s="23" t="str">
        <f>IFERROR(VLOOKUP(B188,コード表２!$E$2:$F$294,2,FALSE),"")</f>
        <v/>
      </c>
      <c r="F188" s="23" t="str">
        <f>IFERROR(VLOOKUP(C188,コード表２!$I$2:$J$294,2,FALSE),"")</f>
        <v/>
      </c>
      <c r="G188" s="23" t="str">
        <f t="shared" si="7"/>
        <v/>
      </c>
      <c r="H188" s="7" t="str">
        <f t="shared" si="8"/>
        <v/>
      </c>
      <c r="I188" s="7" t="str">
        <f t="shared" si="6"/>
        <v/>
      </c>
    </row>
    <row r="189" spans="1:13" ht="18.600000000000001" customHeight="1" x14ac:dyDescent="0.45">
      <c r="A189" s="8"/>
      <c r="B189" s="8"/>
      <c r="C189" s="8"/>
      <c r="D189" s="23" t="str">
        <f>IFERROR(VLOOKUP(A189,コード表２!$A$2:$B$294,2,FALSE),"")</f>
        <v/>
      </c>
      <c r="E189" s="23" t="str">
        <f>IFERROR(VLOOKUP(B189,コード表２!$E$2:$F$294,2,FALSE),"")</f>
        <v/>
      </c>
      <c r="F189" s="23" t="str">
        <f>IFERROR(VLOOKUP(C189,コード表２!$I$2:$J$294,2,FALSE),"")</f>
        <v/>
      </c>
      <c r="G189" s="23" t="str">
        <f t="shared" si="7"/>
        <v/>
      </c>
      <c r="H189" s="7" t="str">
        <f t="shared" si="8"/>
        <v/>
      </c>
      <c r="I189" s="7" t="str">
        <f t="shared" si="6"/>
        <v/>
      </c>
    </row>
    <row r="190" spans="1:13" ht="18.600000000000001" customHeight="1" x14ac:dyDescent="0.45">
      <c r="A190" s="8"/>
      <c r="B190" s="8"/>
      <c r="C190" s="8"/>
      <c r="D190" s="23" t="str">
        <f>IFERROR(VLOOKUP(A190,コード表２!$A$2:$B$294,2,FALSE),"")</f>
        <v/>
      </c>
      <c r="E190" s="23" t="str">
        <f>IFERROR(VLOOKUP(B190,コード表２!$E$2:$F$294,2,FALSE),"")</f>
        <v/>
      </c>
      <c r="F190" s="23" t="str">
        <f>IFERROR(VLOOKUP(C190,コード表２!$I$2:$J$294,2,FALSE),"")</f>
        <v/>
      </c>
      <c r="G190" s="23" t="str">
        <f t="shared" si="7"/>
        <v/>
      </c>
      <c r="H190" s="7" t="str">
        <f t="shared" si="8"/>
        <v/>
      </c>
      <c r="I190" s="7" t="str">
        <f t="shared" si="6"/>
        <v/>
      </c>
    </row>
    <row r="191" spans="1:13" ht="18.600000000000001" customHeight="1" x14ac:dyDescent="0.45">
      <c r="A191" s="8"/>
      <c r="B191" s="8"/>
      <c r="C191" s="8"/>
      <c r="D191" s="23" t="str">
        <f>IFERROR(VLOOKUP(A191,コード表２!$A$2:$B$294,2,FALSE),"")</f>
        <v/>
      </c>
      <c r="E191" s="23" t="str">
        <f>IFERROR(VLOOKUP(B191,コード表２!$E$2:$F$294,2,FALSE),"")</f>
        <v/>
      </c>
      <c r="F191" s="23" t="str">
        <f>IFERROR(VLOOKUP(C191,コード表２!$I$2:$J$294,2,FALSE),"")</f>
        <v/>
      </c>
      <c r="G191" s="23" t="str">
        <f t="shared" si="7"/>
        <v/>
      </c>
      <c r="H191" s="7"/>
      <c r="I191" s="7" t="str">
        <f t="shared" si="6"/>
        <v/>
      </c>
    </row>
    <row r="192" spans="1:13" ht="18.600000000000001" customHeight="1" x14ac:dyDescent="0.45">
      <c r="A192" s="8"/>
      <c r="B192" s="8"/>
      <c r="C192" s="8"/>
      <c r="D192" s="23" t="str">
        <f>IFERROR(VLOOKUP(A192,コード表２!$A$2:$B$294,2,FALSE),"")</f>
        <v/>
      </c>
      <c r="E192" s="23" t="str">
        <f>IFERROR(VLOOKUP(B192,コード表２!$E$2:$F$294,2,FALSE),"")</f>
        <v/>
      </c>
      <c r="F192" s="23" t="str">
        <f>IFERROR(VLOOKUP(C192,コード表２!$I$2:$J$294,2,FALSE),"")</f>
        <v/>
      </c>
      <c r="G192" s="23" t="str">
        <f t="shared" si="7"/>
        <v/>
      </c>
      <c r="H192" s="7"/>
      <c r="I192" s="7" t="str">
        <f t="shared" si="6"/>
        <v/>
      </c>
    </row>
    <row r="193" spans="1:9" ht="18.600000000000001" customHeight="1" x14ac:dyDescent="0.45">
      <c r="A193" s="8"/>
      <c r="B193" s="8"/>
      <c r="C193" s="8"/>
      <c r="D193" s="23" t="str">
        <f>IFERROR(VLOOKUP(A193,コード表２!$A$2:$B$294,2,FALSE),"")</f>
        <v/>
      </c>
      <c r="E193" s="23" t="str">
        <f>IFERROR(VLOOKUP(B193,コード表２!$E$2:$F$294,2,FALSE),"")</f>
        <v/>
      </c>
      <c r="F193" s="23" t="str">
        <f>IFERROR(VLOOKUP(C193,コード表２!$I$2:$J$294,2,FALSE),"")</f>
        <v/>
      </c>
      <c r="G193" s="23" t="str">
        <f t="shared" si="7"/>
        <v/>
      </c>
      <c r="H193" s="7"/>
      <c r="I193" s="7" t="str">
        <f t="shared" si="6"/>
        <v/>
      </c>
    </row>
    <row r="194" spans="1:9" ht="18.600000000000001" customHeight="1" x14ac:dyDescent="0.45">
      <c r="A194" s="8"/>
      <c r="B194" s="8"/>
      <c r="C194" s="8"/>
      <c r="D194" s="23" t="str">
        <f>IFERROR(VLOOKUP(A194,コード表２!$A$2:$B$294,2,FALSE),"")</f>
        <v/>
      </c>
      <c r="E194" s="23" t="str">
        <f>IFERROR(VLOOKUP(B194,コード表２!$E$2:$F$294,2,FALSE),"")</f>
        <v/>
      </c>
      <c r="F194" s="23" t="str">
        <f>IFERROR(VLOOKUP(C194,コード表２!$I$2:$J$294,2,FALSE),"")</f>
        <v/>
      </c>
      <c r="G194" s="23" t="str">
        <f t="shared" si="7"/>
        <v/>
      </c>
      <c r="H194" s="7"/>
      <c r="I194" s="7" t="str">
        <f t="shared" ref="I194:I257" si="9">IF(H194="","",COUNTIF($H$2:$H$190,H194))</f>
        <v/>
      </c>
    </row>
    <row r="195" spans="1:9" ht="18.600000000000001" customHeight="1" x14ac:dyDescent="0.45">
      <c r="A195" s="8"/>
      <c r="B195" s="8"/>
      <c r="C195" s="8"/>
      <c r="D195" s="23" t="str">
        <f>IFERROR(VLOOKUP(A195,コード表２!$A$2:$B$294,2,FALSE),"")</f>
        <v/>
      </c>
      <c r="E195" s="23" t="str">
        <f>IFERROR(VLOOKUP(B195,コード表２!$E$2:$F$294,2,FALSE),"")</f>
        <v/>
      </c>
      <c r="F195" s="23" t="str">
        <f>IFERROR(VLOOKUP(C195,コード表２!$I$2:$J$294,2,FALSE),"")</f>
        <v/>
      </c>
      <c r="G195" s="23" t="str">
        <f t="shared" ref="G195:G202" si="10">IF(D195="","",D195&amp;"-"&amp;E195&amp;"-")</f>
        <v/>
      </c>
      <c r="H195" s="7"/>
      <c r="I195" s="7" t="str">
        <f t="shared" si="9"/>
        <v/>
      </c>
    </row>
    <row r="196" spans="1:9" ht="18.600000000000001" customHeight="1" x14ac:dyDescent="0.45">
      <c r="A196" s="8"/>
      <c r="B196" s="8"/>
      <c r="C196" s="8"/>
      <c r="D196" s="23" t="str">
        <f>IFERROR(VLOOKUP(A196,コード表２!$A$2:$B$294,2,FALSE),"")</f>
        <v/>
      </c>
      <c r="E196" s="23" t="str">
        <f>IFERROR(VLOOKUP(B196,コード表２!$E$2:$F$294,2,FALSE),"")</f>
        <v/>
      </c>
      <c r="F196" s="23" t="str">
        <f>IFERROR(VLOOKUP(C196,コード表２!$I$2:$J$294,2,FALSE),"")</f>
        <v/>
      </c>
      <c r="G196" s="23" t="str">
        <f t="shared" si="10"/>
        <v/>
      </c>
      <c r="H196" s="7"/>
      <c r="I196" s="7" t="str">
        <f t="shared" si="9"/>
        <v/>
      </c>
    </row>
    <row r="197" spans="1:9" ht="18.600000000000001" customHeight="1" x14ac:dyDescent="0.45">
      <c r="A197" s="8"/>
      <c r="B197" s="8"/>
      <c r="C197" s="8"/>
      <c r="D197" s="23" t="str">
        <f>IFERROR(VLOOKUP(A197,コード表２!$A$2:$B$294,2,FALSE),"")</f>
        <v/>
      </c>
      <c r="E197" s="23" t="str">
        <f>IFERROR(VLOOKUP(B197,コード表２!$E$2:$F$294,2,FALSE),"")</f>
        <v/>
      </c>
      <c r="F197" s="23" t="str">
        <f>IFERROR(VLOOKUP(C197,コード表２!$I$2:$J$294,2,FALSE),"")</f>
        <v/>
      </c>
      <c r="G197" s="23" t="str">
        <f t="shared" si="10"/>
        <v/>
      </c>
      <c r="H197" s="7"/>
      <c r="I197" s="7" t="str">
        <f t="shared" si="9"/>
        <v/>
      </c>
    </row>
    <row r="198" spans="1:9" ht="18.600000000000001" customHeight="1" x14ac:dyDescent="0.45">
      <c r="A198" s="8"/>
      <c r="B198" s="8"/>
      <c r="C198" s="8"/>
      <c r="D198" s="23" t="str">
        <f>IFERROR(VLOOKUP(A198,コード表２!$A$2:$B$294,2,FALSE),"")</f>
        <v/>
      </c>
      <c r="E198" s="23" t="str">
        <f>IFERROR(VLOOKUP(B198,コード表２!$E$2:$F$294,2,FALSE),"")</f>
        <v/>
      </c>
      <c r="F198" s="23" t="str">
        <f>IFERROR(VLOOKUP(C198,コード表２!$I$2:$J$294,2,FALSE),"")</f>
        <v/>
      </c>
      <c r="G198" s="23" t="str">
        <f t="shared" si="10"/>
        <v/>
      </c>
      <c r="H198" s="7"/>
      <c r="I198" s="7" t="str">
        <f t="shared" si="9"/>
        <v/>
      </c>
    </row>
    <row r="199" spans="1:9" ht="18.600000000000001" customHeight="1" x14ac:dyDescent="0.45">
      <c r="A199" s="8"/>
      <c r="B199" s="8"/>
      <c r="C199" s="8"/>
      <c r="D199" s="23" t="str">
        <f>IFERROR(VLOOKUP(A199,コード表２!$A$2:$B$294,2,FALSE),"")</f>
        <v/>
      </c>
      <c r="E199" s="23" t="str">
        <f>IFERROR(VLOOKUP(B199,コード表２!$E$2:$F$294,2,FALSE),"")</f>
        <v/>
      </c>
      <c r="F199" s="23" t="str">
        <f>IFERROR(VLOOKUP(C199,コード表２!$I$2:$J$294,2,FALSE),"")</f>
        <v/>
      </c>
      <c r="G199" s="23" t="str">
        <f t="shared" si="10"/>
        <v/>
      </c>
      <c r="H199" s="7"/>
      <c r="I199" s="7" t="str">
        <f t="shared" si="9"/>
        <v/>
      </c>
    </row>
    <row r="200" spans="1:9" ht="18.600000000000001" customHeight="1" x14ac:dyDescent="0.45">
      <c r="A200" s="8"/>
      <c r="B200" s="8"/>
      <c r="C200" s="8"/>
      <c r="D200" s="23" t="str">
        <f>IFERROR(VLOOKUP(A200,コード表２!$A$2:$B$294,2,FALSE),"")</f>
        <v/>
      </c>
      <c r="E200" s="23" t="str">
        <f>IFERROR(VLOOKUP(B200,コード表２!$E$2:$F$294,2,FALSE),"")</f>
        <v/>
      </c>
      <c r="F200" s="23" t="str">
        <f>IFERROR(VLOOKUP(C200,コード表２!$I$2:$J$294,2,FALSE),"")</f>
        <v/>
      </c>
      <c r="G200" s="23" t="str">
        <f t="shared" si="10"/>
        <v/>
      </c>
      <c r="H200" s="7"/>
      <c r="I200" s="7" t="str">
        <f t="shared" si="9"/>
        <v/>
      </c>
    </row>
    <row r="201" spans="1:9" ht="18.600000000000001" customHeight="1" x14ac:dyDescent="0.45">
      <c r="A201" s="8"/>
      <c r="B201" s="8"/>
      <c r="C201" s="8"/>
      <c r="D201" s="23" t="str">
        <f>IFERROR(VLOOKUP(A201,コード表２!$A$2:$B$294,2,FALSE),"")</f>
        <v/>
      </c>
      <c r="E201" s="23" t="str">
        <f>IFERROR(VLOOKUP(B201,コード表２!$E$2:$F$294,2,FALSE),"")</f>
        <v/>
      </c>
      <c r="F201" s="23" t="str">
        <f>IFERROR(VLOOKUP(C201,コード表２!$I$2:$J$294,2,FALSE),"")</f>
        <v/>
      </c>
      <c r="G201" s="23" t="str">
        <f t="shared" si="10"/>
        <v/>
      </c>
      <c r="H201" s="7"/>
      <c r="I201" s="7" t="str">
        <f t="shared" si="9"/>
        <v/>
      </c>
    </row>
    <row r="202" spans="1:9" ht="18.600000000000001" customHeight="1" x14ac:dyDescent="0.45">
      <c r="A202" s="8"/>
      <c r="B202" s="8"/>
      <c r="C202" s="8"/>
      <c r="D202" s="23" t="str">
        <f>IFERROR(VLOOKUP(A202,コード表２!$A$2:$B$294,2,FALSE),"")</f>
        <v/>
      </c>
      <c r="E202" s="23" t="str">
        <f>IFERROR(VLOOKUP(B202,コード表２!$E$2:$F$294,2,FALSE),"")</f>
        <v/>
      </c>
      <c r="F202" s="23" t="str">
        <f>IFERROR(VLOOKUP(C202,コード表２!$I$2:$J$294,2,FALSE),"")</f>
        <v/>
      </c>
      <c r="G202" s="23" t="str">
        <f t="shared" si="10"/>
        <v/>
      </c>
      <c r="H202" s="7"/>
      <c r="I202" s="7" t="str">
        <f t="shared" si="9"/>
        <v/>
      </c>
    </row>
  </sheetData>
  <phoneticPr fontId="1"/>
  <conditionalFormatting sqref="H2:I202">
    <cfRule type="cellIs" dxfId="1" priority="2" operator="equal">
      <formula>"親カテゴリ"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F6B749-7D3C-47FC-9694-BBC1B16DD0F0}">
  <dimension ref="A1:L294"/>
  <sheetViews>
    <sheetView tabSelected="1" topLeftCell="A134" zoomScale="85" zoomScaleNormal="85" workbookViewId="0">
      <selection activeCell="I139" sqref="I139"/>
    </sheetView>
  </sheetViews>
  <sheetFormatPr defaultRowHeight="18" x14ac:dyDescent="0.45"/>
  <cols>
    <col min="1" max="1" width="25.3984375" bestFit="1" customWidth="1"/>
    <col min="2" max="2" width="5.296875" bestFit="1" customWidth="1"/>
    <col min="3" max="3" width="11" bestFit="1" customWidth="1"/>
    <col min="4" max="4" width="9.19921875" bestFit="1" customWidth="1"/>
    <col min="5" max="5" width="44.8984375" bestFit="1" customWidth="1"/>
    <col min="6" max="6" width="5.59765625" bestFit="1" customWidth="1"/>
    <col min="7" max="7" width="11" bestFit="1" customWidth="1"/>
    <col min="8" max="8" width="9.19921875" bestFit="1" customWidth="1"/>
    <col min="9" max="9" width="44.59765625" bestFit="1" customWidth="1"/>
    <col min="10" max="10" width="5.59765625" bestFit="1" customWidth="1"/>
    <col min="11" max="11" width="11" bestFit="1" customWidth="1"/>
    <col min="12" max="12" width="9.19921875" bestFit="1" customWidth="1"/>
  </cols>
  <sheetData>
    <row r="1" spans="1:12" ht="36.6" thickBot="1" x14ac:dyDescent="0.5">
      <c r="A1" s="25" t="s">
        <v>52</v>
      </c>
      <c r="B1" s="25"/>
      <c r="C1" s="16" t="s">
        <v>325</v>
      </c>
      <c r="D1" s="16" t="s">
        <v>326</v>
      </c>
      <c r="E1" s="27" t="s">
        <v>53</v>
      </c>
      <c r="F1" s="10"/>
      <c r="G1" s="16" t="s">
        <v>325</v>
      </c>
      <c r="H1" s="16" t="s">
        <v>326</v>
      </c>
      <c r="I1" s="25" t="s">
        <v>54</v>
      </c>
      <c r="J1" s="18"/>
      <c r="K1" s="16" t="s">
        <v>325</v>
      </c>
      <c r="L1" s="16" t="s">
        <v>326</v>
      </c>
    </row>
    <row r="2" spans="1:12" x14ac:dyDescent="0.45">
      <c r="A2" s="9" t="s">
        <v>222</v>
      </c>
      <c r="B2" s="9" t="s">
        <v>183</v>
      </c>
      <c r="C2" s="26">
        <f>COUNTIF(A$2:A$294,A2)</f>
        <v>1</v>
      </c>
      <c r="D2" s="26">
        <f>COUNTIF(B$2:B$294,B2)</f>
        <v>1</v>
      </c>
      <c r="E2" s="8" t="s">
        <v>228</v>
      </c>
      <c r="F2" s="8" t="s">
        <v>210</v>
      </c>
      <c r="G2" s="26">
        <f>COUNTIF(E$2:E$294,E2)</f>
        <v>1</v>
      </c>
      <c r="H2" s="26">
        <f>COUNTIF($F$2:$F$294,F2)</f>
        <v>1</v>
      </c>
      <c r="I2" s="9" t="s">
        <v>51</v>
      </c>
      <c r="J2" s="9" t="s">
        <v>191</v>
      </c>
      <c r="K2" s="26">
        <f>COUNTIF(I$2:I$294,I2)</f>
        <v>1</v>
      </c>
      <c r="L2" s="26">
        <f>COUNTIF(J$2:J$294,J2)</f>
        <v>2</v>
      </c>
    </row>
    <row r="3" spans="1:12" x14ac:dyDescent="0.45">
      <c r="A3" s="8" t="s">
        <v>47</v>
      </c>
      <c r="B3" s="8" t="s">
        <v>318</v>
      </c>
      <c r="C3" s="24">
        <f t="shared" ref="C3:D66" si="0">COUNTIF(A$2:A$294,A3)</f>
        <v>1</v>
      </c>
      <c r="D3" s="24">
        <f t="shared" si="0"/>
        <v>1</v>
      </c>
      <c r="E3" s="8" t="s">
        <v>224</v>
      </c>
      <c r="F3" s="8" t="s">
        <v>211</v>
      </c>
      <c r="G3" s="24">
        <f t="shared" ref="G3:G66" si="1">COUNTIF(E$2:E$294,E3)</f>
        <v>1</v>
      </c>
      <c r="H3" s="24">
        <f t="shared" ref="H3:H66" si="2">COUNTIF($F$2:$F$294,F3)</f>
        <v>1</v>
      </c>
      <c r="I3" s="8" t="s">
        <v>55</v>
      </c>
      <c r="J3" s="8" t="s">
        <v>192</v>
      </c>
      <c r="K3" s="24">
        <f t="shared" ref="K3:L66" si="3">COUNTIF(I$2:I$294,I3)</f>
        <v>1</v>
      </c>
      <c r="L3" s="24">
        <f t="shared" si="3"/>
        <v>2</v>
      </c>
    </row>
    <row r="4" spans="1:12" x14ac:dyDescent="0.45">
      <c r="A4" s="8" t="s">
        <v>337</v>
      </c>
      <c r="B4" s="8" t="s">
        <v>340</v>
      </c>
      <c r="C4" s="24">
        <f t="shared" si="0"/>
        <v>1</v>
      </c>
      <c r="D4" s="24">
        <f t="shared" si="0"/>
        <v>1</v>
      </c>
      <c r="E4" s="8" t="s">
        <v>102</v>
      </c>
      <c r="F4" s="8" t="s">
        <v>212</v>
      </c>
      <c r="G4" s="24">
        <f t="shared" si="1"/>
        <v>1</v>
      </c>
      <c r="H4" s="24">
        <f t="shared" si="2"/>
        <v>1</v>
      </c>
      <c r="I4" s="8" t="s">
        <v>56</v>
      </c>
      <c r="J4" s="8" t="s">
        <v>193</v>
      </c>
      <c r="K4" s="24">
        <f t="shared" si="3"/>
        <v>1</v>
      </c>
      <c r="L4" s="24">
        <f t="shared" si="3"/>
        <v>1</v>
      </c>
    </row>
    <row r="5" spans="1:12" x14ac:dyDescent="0.45">
      <c r="A5" s="8" t="s">
        <v>338</v>
      </c>
      <c r="B5" s="8" t="s">
        <v>341</v>
      </c>
      <c r="C5" s="24">
        <f t="shared" si="0"/>
        <v>1</v>
      </c>
      <c r="D5" s="24">
        <f t="shared" si="0"/>
        <v>1</v>
      </c>
      <c r="E5" s="8" t="s">
        <v>225</v>
      </c>
      <c r="F5" s="8" t="s">
        <v>197</v>
      </c>
      <c r="G5" s="24">
        <f t="shared" si="1"/>
        <v>1</v>
      </c>
      <c r="H5" s="24">
        <f t="shared" si="2"/>
        <v>1</v>
      </c>
      <c r="I5" s="8" t="s">
        <v>57</v>
      </c>
      <c r="J5" s="8" t="s">
        <v>194</v>
      </c>
      <c r="K5" s="24">
        <f t="shared" si="3"/>
        <v>1</v>
      </c>
      <c r="L5" s="24">
        <f t="shared" si="3"/>
        <v>1</v>
      </c>
    </row>
    <row r="6" spans="1:12" x14ac:dyDescent="0.45">
      <c r="A6" s="8" t="s">
        <v>339</v>
      </c>
      <c r="B6" s="8" t="s">
        <v>333</v>
      </c>
      <c r="C6" s="24">
        <f t="shared" si="0"/>
        <v>1</v>
      </c>
      <c r="D6" s="24">
        <f t="shared" si="0"/>
        <v>1</v>
      </c>
      <c r="E6" s="8" t="s">
        <v>115</v>
      </c>
      <c r="F6" s="8" t="s">
        <v>213</v>
      </c>
      <c r="G6" s="24">
        <f t="shared" si="1"/>
        <v>1</v>
      </c>
      <c r="H6" s="24">
        <f t="shared" si="2"/>
        <v>1</v>
      </c>
      <c r="I6" s="8" t="s">
        <v>58</v>
      </c>
      <c r="J6" s="8" t="s">
        <v>195</v>
      </c>
      <c r="K6" s="24">
        <f t="shared" si="3"/>
        <v>1</v>
      </c>
      <c r="L6" s="24">
        <f t="shared" si="3"/>
        <v>1</v>
      </c>
    </row>
    <row r="7" spans="1:12" x14ac:dyDescent="0.45">
      <c r="A7" s="8"/>
      <c r="B7" s="8"/>
      <c r="C7" s="24">
        <f t="shared" si="0"/>
        <v>0</v>
      </c>
      <c r="D7" s="24">
        <f t="shared" si="0"/>
        <v>0</v>
      </c>
      <c r="E7" s="8" t="s">
        <v>121</v>
      </c>
      <c r="F7" s="8" t="s">
        <v>214</v>
      </c>
      <c r="G7" s="24">
        <f t="shared" si="1"/>
        <v>1</v>
      </c>
      <c r="H7" s="24">
        <f t="shared" si="2"/>
        <v>1</v>
      </c>
      <c r="I7" s="8" t="s">
        <v>59</v>
      </c>
      <c r="J7" s="8" t="s">
        <v>189</v>
      </c>
      <c r="K7" s="24">
        <f t="shared" si="3"/>
        <v>1</v>
      </c>
      <c r="L7" s="24">
        <f t="shared" si="3"/>
        <v>2</v>
      </c>
    </row>
    <row r="8" spans="1:12" x14ac:dyDescent="0.45">
      <c r="A8" s="8"/>
      <c r="B8" s="8"/>
      <c r="C8" s="24">
        <f t="shared" si="0"/>
        <v>0</v>
      </c>
      <c r="D8" s="24">
        <f t="shared" si="0"/>
        <v>0</v>
      </c>
      <c r="E8" s="8" t="s">
        <v>127</v>
      </c>
      <c r="F8" s="8" t="s">
        <v>215</v>
      </c>
      <c r="G8" s="24">
        <f t="shared" si="1"/>
        <v>1</v>
      </c>
      <c r="H8" s="24">
        <f t="shared" si="2"/>
        <v>1</v>
      </c>
      <c r="I8" s="8" t="s">
        <v>60</v>
      </c>
      <c r="J8" s="8" t="s">
        <v>196</v>
      </c>
      <c r="K8" s="24">
        <f t="shared" si="3"/>
        <v>1</v>
      </c>
      <c r="L8" s="24">
        <f t="shared" si="3"/>
        <v>1</v>
      </c>
    </row>
    <row r="9" spans="1:12" x14ac:dyDescent="0.45">
      <c r="A9" s="8"/>
      <c r="B9" s="8"/>
      <c r="C9" s="24">
        <f t="shared" si="0"/>
        <v>0</v>
      </c>
      <c r="D9" s="24">
        <f t="shared" si="0"/>
        <v>0</v>
      </c>
      <c r="E9" s="8" t="s">
        <v>134</v>
      </c>
      <c r="F9" s="8" t="s">
        <v>221</v>
      </c>
      <c r="G9" s="24">
        <f t="shared" si="1"/>
        <v>1</v>
      </c>
      <c r="H9" s="24">
        <f t="shared" si="2"/>
        <v>1</v>
      </c>
      <c r="I9" s="8" t="s">
        <v>61</v>
      </c>
      <c r="J9" s="8" t="s">
        <v>197</v>
      </c>
      <c r="K9" s="24">
        <f t="shared" si="3"/>
        <v>1</v>
      </c>
      <c r="L9" s="24">
        <f t="shared" si="3"/>
        <v>3</v>
      </c>
    </row>
    <row r="10" spans="1:12" x14ac:dyDescent="0.45">
      <c r="A10" s="8"/>
      <c r="B10" s="8"/>
      <c r="C10" s="24">
        <f t="shared" si="0"/>
        <v>0</v>
      </c>
      <c r="D10" s="24">
        <f t="shared" si="0"/>
        <v>0</v>
      </c>
      <c r="E10" s="8" t="s">
        <v>139</v>
      </c>
      <c r="F10" s="8" t="s">
        <v>216</v>
      </c>
      <c r="G10" s="24">
        <f t="shared" si="1"/>
        <v>1</v>
      </c>
      <c r="H10" s="24">
        <f t="shared" si="2"/>
        <v>1</v>
      </c>
      <c r="I10" s="8" t="s">
        <v>62</v>
      </c>
      <c r="J10" s="8" t="s">
        <v>198</v>
      </c>
      <c r="K10" s="24">
        <f t="shared" si="3"/>
        <v>1</v>
      </c>
      <c r="L10" s="24">
        <f t="shared" si="3"/>
        <v>1</v>
      </c>
    </row>
    <row r="11" spans="1:12" x14ac:dyDescent="0.45">
      <c r="A11" s="8"/>
      <c r="B11" s="8"/>
      <c r="C11" s="24">
        <f t="shared" si="0"/>
        <v>0</v>
      </c>
      <c r="D11" s="24">
        <f t="shared" si="0"/>
        <v>0</v>
      </c>
      <c r="E11" s="8" t="s">
        <v>148</v>
      </c>
      <c r="F11" s="8" t="s">
        <v>230</v>
      </c>
      <c r="G11" s="24">
        <f t="shared" si="1"/>
        <v>1</v>
      </c>
      <c r="H11" s="24">
        <f t="shared" si="2"/>
        <v>1</v>
      </c>
      <c r="I11" s="8" t="s">
        <v>63</v>
      </c>
      <c r="J11" s="8" t="s">
        <v>199</v>
      </c>
      <c r="K11" s="24">
        <f t="shared" si="3"/>
        <v>1</v>
      </c>
      <c r="L11" s="24">
        <f t="shared" si="3"/>
        <v>1</v>
      </c>
    </row>
    <row r="12" spans="1:12" x14ac:dyDescent="0.45">
      <c r="A12" s="8"/>
      <c r="B12" s="8"/>
      <c r="C12" s="24">
        <f t="shared" si="0"/>
        <v>0</v>
      </c>
      <c r="D12" s="24">
        <f t="shared" si="0"/>
        <v>0</v>
      </c>
      <c r="E12" s="8" t="s">
        <v>153</v>
      </c>
      <c r="F12" s="8" t="s">
        <v>218</v>
      </c>
      <c r="G12" s="24">
        <f t="shared" si="1"/>
        <v>1</v>
      </c>
      <c r="H12" s="24">
        <f t="shared" si="2"/>
        <v>1</v>
      </c>
      <c r="I12" s="8" t="s">
        <v>64</v>
      </c>
      <c r="J12" s="8" t="s">
        <v>200</v>
      </c>
      <c r="K12" s="24">
        <f t="shared" si="3"/>
        <v>1</v>
      </c>
      <c r="L12" s="24">
        <f t="shared" si="3"/>
        <v>2</v>
      </c>
    </row>
    <row r="13" spans="1:12" x14ac:dyDescent="0.45">
      <c r="A13" s="8"/>
      <c r="B13" s="8"/>
      <c r="C13" s="24">
        <f t="shared" si="0"/>
        <v>0</v>
      </c>
      <c r="D13" s="24">
        <f t="shared" si="0"/>
        <v>0</v>
      </c>
      <c r="E13" s="8" t="s">
        <v>155</v>
      </c>
      <c r="F13" s="8" t="s">
        <v>219</v>
      </c>
      <c r="G13" s="24">
        <f t="shared" si="1"/>
        <v>1</v>
      </c>
      <c r="H13" s="24">
        <f t="shared" si="2"/>
        <v>1</v>
      </c>
      <c r="I13" s="8" t="s">
        <v>65</v>
      </c>
      <c r="J13" s="8" t="s">
        <v>187</v>
      </c>
      <c r="K13" s="24">
        <f t="shared" si="3"/>
        <v>1</v>
      </c>
      <c r="L13" s="24">
        <f t="shared" si="3"/>
        <v>2</v>
      </c>
    </row>
    <row r="14" spans="1:12" x14ac:dyDescent="0.45">
      <c r="A14" s="8"/>
      <c r="B14" s="8"/>
      <c r="C14" s="24">
        <f t="shared" si="0"/>
        <v>0</v>
      </c>
      <c r="D14" s="24">
        <f t="shared" si="0"/>
        <v>0</v>
      </c>
      <c r="E14" s="8" t="s">
        <v>160</v>
      </c>
      <c r="F14" s="8" t="s">
        <v>220</v>
      </c>
      <c r="G14" s="24">
        <f t="shared" si="1"/>
        <v>1</v>
      </c>
      <c r="H14" s="24">
        <f t="shared" si="2"/>
        <v>1</v>
      </c>
      <c r="I14" s="8" t="s">
        <v>66</v>
      </c>
      <c r="J14" s="8" t="s">
        <v>188</v>
      </c>
      <c r="K14" s="24">
        <f t="shared" si="3"/>
        <v>1</v>
      </c>
      <c r="L14" s="24">
        <f t="shared" si="3"/>
        <v>1</v>
      </c>
    </row>
    <row r="15" spans="1:12" x14ac:dyDescent="0.45">
      <c r="A15" s="8"/>
      <c r="B15" s="8"/>
      <c r="C15" s="24">
        <f t="shared" si="0"/>
        <v>0</v>
      </c>
      <c r="D15" s="24">
        <f t="shared" si="0"/>
        <v>0</v>
      </c>
      <c r="E15" s="8" t="s">
        <v>168</v>
      </c>
      <c r="F15" s="8" t="s">
        <v>306</v>
      </c>
      <c r="G15" s="24">
        <f t="shared" si="1"/>
        <v>1</v>
      </c>
      <c r="H15" s="24">
        <f t="shared" si="2"/>
        <v>1</v>
      </c>
      <c r="I15" s="8" t="s">
        <v>67</v>
      </c>
      <c r="J15" s="8" t="s">
        <v>201</v>
      </c>
      <c r="K15" s="24">
        <f t="shared" si="3"/>
        <v>1</v>
      </c>
      <c r="L15" s="24">
        <f t="shared" si="3"/>
        <v>1</v>
      </c>
    </row>
    <row r="16" spans="1:12" x14ac:dyDescent="0.45">
      <c r="A16" s="8"/>
      <c r="B16" s="8"/>
      <c r="C16" s="24">
        <f t="shared" si="0"/>
        <v>0</v>
      </c>
      <c r="D16" s="24">
        <f t="shared" si="0"/>
        <v>0</v>
      </c>
      <c r="E16" s="8" t="s">
        <v>169</v>
      </c>
      <c r="F16" s="8" t="s">
        <v>307</v>
      </c>
      <c r="G16" s="24">
        <f t="shared" si="1"/>
        <v>1</v>
      </c>
      <c r="H16" s="24">
        <f t="shared" si="2"/>
        <v>1</v>
      </c>
      <c r="I16" s="8" t="s">
        <v>68</v>
      </c>
      <c r="J16" s="8" t="s">
        <v>202</v>
      </c>
      <c r="K16" s="24">
        <f t="shared" si="3"/>
        <v>1</v>
      </c>
      <c r="L16" s="24">
        <f t="shared" si="3"/>
        <v>3</v>
      </c>
    </row>
    <row r="17" spans="1:12" x14ac:dyDescent="0.45">
      <c r="A17" s="8"/>
      <c r="B17" s="8"/>
      <c r="C17" s="24">
        <f t="shared" si="0"/>
        <v>0</v>
      </c>
      <c r="D17" s="24">
        <f t="shared" si="0"/>
        <v>0</v>
      </c>
      <c r="E17" s="8" t="s">
        <v>172</v>
      </c>
      <c r="F17" s="8" t="s">
        <v>226</v>
      </c>
      <c r="G17" s="24">
        <f t="shared" si="1"/>
        <v>1</v>
      </c>
      <c r="H17" s="24">
        <f t="shared" si="2"/>
        <v>1</v>
      </c>
      <c r="I17" s="8" t="s">
        <v>69</v>
      </c>
      <c r="J17" s="8" t="s">
        <v>203</v>
      </c>
      <c r="K17" s="24">
        <f t="shared" si="3"/>
        <v>1</v>
      </c>
      <c r="L17" s="24">
        <f t="shared" si="3"/>
        <v>2</v>
      </c>
    </row>
    <row r="18" spans="1:12" x14ac:dyDescent="0.45">
      <c r="A18" s="8"/>
      <c r="B18" s="8"/>
      <c r="C18" s="24">
        <f t="shared" si="0"/>
        <v>0</v>
      </c>
      <c r="D18" s="24">
        <f t="shared" si="0"/>
        <v>0</v>
      </c>
      <c r="E18" s="8" t="s">
        <v>178</v>
      </c>
      <c r="F18" s="8" t="s">
        <v>227</v>
      </c>
      <c r="G18" s="24">
        <f t="shared" si="1"/>
        <v>1</v>
      </c>
      <c r="H18" s="24">
        <f t="shared" si="2"/>
        <v>1</v>
      </c>
      <c r="I18" s="8" t="s">
        <v>70</v>
      </c>
      <c r="J18" s="8" t="s">
        <v>204</v>
      </c>
      <c r="K18" s="24">
        <f t="shared" si="3"/>
        <v>1</v>
      </c>
      <c r="L18" s="24">
        <f t="shared" si="3"/>
        <v>2</v>
      </c>
    </row>
    <row r="19" spans="1:12" x14ac:dyDescent="0.45">
      <c r="A19" s="8"/>
      <c r="B19" s="8"/>
      <c r="C19" s="24">
        <f t="shared" si="0"/>
        <v>0</v>
      </c>
      <c r="D19" s="24">
        <f t="shared" si="0"/>
        <v>0</v>
      </c>
      <c r="E19" s="8" t="s">
        <v>49</v>
      </c>
      <c r="F19" s="8" t="s">
        <v>184</v>
      </c>
      <c r="G19" s="24">
        <f t="shared" si="1"/>
        <v>1</v>
      </c>
      <c r="H19" s="24">
        <f t="shared" si="2"/>
        <v>1</v>
      </c>
      <c r="I19" s="8" t="s">
        <v>71</v>
      </c>
      <c r="J19" s="8" t="s">
        <v>205</v>
      </c>
      <c r="K19" s="24">
        <f t="shared" si="3"/>
        <v>1</v>
      </c>
      <c r="L19" s="24">
        <f t="shared" si="3"/>
        <v>2</v>
      </c>
    </row>
    <row r="20" spans="1:12" x14ac:dyDescent="0.45">
      <c r="A20" s="8"/>
      <c r="B20" s="8"/>
      <c r="C20" s="24">
        <f t="shared" si="0"/>
        <v>0</v>
      </c>
      <c r="D20" s="24">
        <f t="shared" si="0"/>
        <v>0</v>
      </c>
      <c r="E20" s="8" t="s">
        <v>50</v>
      </c>
      <c r="F20" s="8" t="s">
        <v>185</v>
      </c>
      <c r="G20" s="24">
        <f t="shared" si="1"/>
        <v>1</v>
      </c>
      <c r="H20" s="24">
        <f t="shared" si="2"/>
        <v>1</v>
      </c>
      <c r="I20" s="8" t="s">
        <v>72</v>
      </c>
      <c r="J20" s="8" t="s">
        <v>206</v>
      </c>
      <c r="K20" s="24">
        <f t="shared" si="3"/>
        <v>1</v>
      </c>
      <c r="L20" s="24">
        <f t="shared" si="3"/>
        <v>3</v>
      </c>
    </row>
    <row r="21" spans="1:12" x14ac:dyDescent="0.45">
      <c r="A21" s="8"/>
      <c r="B21" s="8"/>
      <c r="C21" s="24">
        <f t="shared" si="0"/>
        <v>0</v>
      </c>
      <c r="D21" s="24">
        <f t="shared" si="0"/>
        <v>0</v>
      </c>
      <c r="E21" s="8" t="s">
        <v>311</v>
      </c>
      <c r="F21" s="8" t="s">
        <v>316</v>
      </c>
      <c r="G21" s="24">
        <f t="shared" si="1"/>
        <v>1</v>
      </c>
      <c r="H21" s="24">
        <f t="shared" si="2"/>
        <v>1</v>
      </c>
      <c r="I21" s="8" t="s">
        <v>73</v>
      </c>
      <c r="J21" s="8" t="s">
        <v>207</v>
      </c>
      <c r="K21" s="24">
        <f t="shared" si="3"/>
        <v>1</v>
      </c>
      <c r="L21" s="24">
        <f t="shared" si="3"/>
        <v>1</v>
      </c>
    </row>
    <row r="22" spans="1:12" x14ac:dyDescent="0.45">
      <c r="A22" s="8"/>
      <c r="B22" s="8"/>
      <c r="C22" s="24">
        <f t="shared" si="0"/>
        <v>0</v>
      </c>
      <c r="D22" s="24">
        <f t="shared" si="0"/>
        <v>0</v>
      </c>
      <c r="E22" s="8" t="s">
        <v>313</v>
      </c>
      <c r="F22" s="8" t="s">
        <v>317</v>
      </c>
      <c r="G22" s="24">
        <f t="shared" si="1"/>
        <v>1</v>
      </c>
      <c r="H22" s="24">
        <f t="shared" si="2"/>
        <v>1</v>
      </c>
      <c r="I22" s="8" t="s">
        <v>74</v>
      </c>
      <c r="J22" s="8" t="s">
        <v>208</v>
      </c>
      <c r="K22" s="24">
        <f t="shared" si="3"/>
        <v>1</v>
      </c>
      <c r="L22" s="24">
        <f t="shared" si="3"/>
        <v>1</v>
      </c>
    </row>
    <row r="23" spans="1:12" x14ac:dyDescent="0.45">
      <c r="A23" s="8"/>
      <c r="B23" s="8"/>
      <c r="C23" s="24">
        <f t="shared" si="0"/>
        <v>0</v>
      </c>
      <c r="D23" s="24">
        <f t="shared" si="0"/>
        <v>0</v>
      </c>
      <c r="E23" s="8" t="s">
        <v>322</v>
      </c>
      <c r="F23" s="8" t="s">
        <v>330</v>
      </c>
      <c r="G23" s="24">
        <f t="shared" si="1"/>
        <v>1</v>
      </c>
      <c r="H23" s="24">
        <f t="shared" si="2"/>
        <v>1</v>
      </c>
      <c r="I23" s="9" t="s">
        <v>222</v>
      </c>
      <c r="J23" s="9" t="s">
        <v>182</v>
      </c>
      <c r="K23" s="24">
        <f t="shared" si="3"/>
        <v>1</v>
      </c>
      <c r="L23" s="24">
        <f t="shared" si="3"/>
        <v>2</v>
      </c>
    </row>
    <row r="24" spans="1:12" x14ac:dyDescent="0.45">
      <c r="A24" s="8"/>
      <c r="B24" s="8"/>
      <c r="C24" s="24">
        <f t="shared" si="0"/>
        <v>0</v>
      </c>
      <c r="D24" s="24">
        <f t="shared" si="0"/>
        <v>0</v>
      </c>
      <c r="E24" s="8" t="s">
        <v>323</v>
      </c>
      <c r="F24" s="8" t="s">
        <v>331</v>
      </c>
      <c r="G24" s="24">
        <f t="shared" si="1"/>
        <v>1</v>
      </c>
      <c r="H24" s="24">
        <f t="shared" si="2"/>
        <v>1</v>
      </c>
      <c r="I24" s="8" t="s">
        <v>223</v>
      </c>
      <c r="J24" s="8" t="s">
        <v>210</v>
      </c>
      <c r="K24" s="24">
        <f t="shared" si="3"/>
        <v>1</v>
      </c>
      <c r="L24" s="24">
        <f t="shared" si="3"/>
        <v>1</v>
      </c>
    </row>
    <row r="25" spans="1:12" x14ac:dyDescent="0.45">
      <c r="A25" s="8"/>
      <c r="B25" s="8"/>
      <c r="C25" s="24">
        <f t="shared" si="0"/>
        <v>0</v>
      </c>
      <c r="D25" s="24">
        <f t="shared" si="0"/>
        <v>0</v>
      </c>
      <c r="E25" s="8" t="s">
        <v>324</v>
      </c>
      <c r="F25" s="8" t="s">
        <v>332</v>
      </c>
      <c r="G25" s="24">
        <f t="shared" si="1"/>
        <v>1</v>
      </c>
      <c r="H25" s="24">
        <f t="shared" si="2"/>
        <v>1</v>
      </c>
      <c r="I25" s="8" t="s">
        <v>224</v>
      </c>
      <c r="J25" s="8" t="s">
        <v>211</v>
      </c>
      <c r="K25" s="24">
        <f t="shared" si="3"/>
        <v>1</v>
      </c>
      <c r="L25" s="24">
        <f t="shared" si="3"/>
        <v>1</v>
      </c>
    </row>
    <row r="26" spans="1:12" x14ac:dyDescent="0.45">
      <c r="A26" s="8"/>
      <c r="B26" s="8"/>
      <c r="C26" s="24">
        <f t="shared" si="0"/>
        <v>0</v>
      </c>
      <c r="D26" s="24">
        <f t="shared" si="0"/>
        <v>0</v>
      </c>
      <c r="E26" s="8" t="s">
        <v>319</v>
      </c>
      <c r="F26" s="8" t="s">
        <v>334</v>
      </c>
      <c r="G26" s="24">
        <f t="shared" si="1"/>
        <v>1</v>
      </c>
      <c r="H26" s="24">
        <f t="shared" si="2"/>
        <v>1</v>
      </c>
      <c r="I26" s="8" t="s">
        <v>102</v>
      </c>
      <c r="J26" s="8" t="s">
        <v>212</v>
      </c>
      <c r="K26" s="24">
        <f t="shared" si="3"/>
        <v>1</v>
      </c>
      <c r="L26" s="24">
        <f t="shared" si="3"/>
        <v>2</v>
      </c>
    </row>
    <row r="27" spans="1:12" x14ac:dyDescent="0.45">
      <c r="A27" s="8"/>
      <c r="B27" s="8"/>
      <c r="C27" s="24">
        <f t="shared" si="0"/>
        <v>0</v>
      </c>
      <c r="D27" s="24">
        <f t="shared" si="0"/>
        <v>0</v>
      </c>
      <c r="E27" s="8" t="s">
        <v>320</v>
      </c>
      <c r="F27" s="8" t="s">
        <v>335</v>
      </c>
      <c r="G27" s="24">
        <f t="shared" si="1"/>
        <v>1</v>
      </c>
      <c r="H27" s="24">
        <f t="shared" si="2"/>
        <v>1</v>
      </c>
      <c r="I27" s="8" t="s">
        <v>225</v>
      </c>
      <c r="J27" s="8" t="s">
        <v>197</v>
      </c>
      <c r="K27" s="24">
        <f t="shared" si="3"/>
        <v>1</v>
      </c>
      <c r="L27" s="24">
        <f t="shared" si="3"/>
        <v>3</v>
      </c>
    </row>
    <row r="28" spans="1:12" x14ac:dyDescent="0.45">
      <c r="A28" s="8"/>
      <c r="B28" s="8"/>
      <c r="C28" s="24">
        <f t="shared" si="0"/>
        <v>0</v>
      </c>
      <c r="D28" s="24">
        <f t="shared" si="0"/>
        <v>0</v>
      </c>
      <c r="E28" s="8" t="s">
        <v>321</v>
      </c>
      <c r="F28" s="8" t="s">
        <v>336</v>
      </c>
      <c r="G28" s="24">
        <f t="shared" si="1"/>
        <v>1</v>
      </c>
      <c r="H28" s="24">
        <f t="shared" si="2"/>
        <v>1</v>
      </c>
      <c r="I28" s="8" t="s">
        <v>115</v>
      </c>
      <c r="J28" s="8" t="s">
        <v>213</v>
      </c>
      <c r="K28" s="24">
        <f t="shared" si="3"/>
        <v>1</v>
      </c>
      <c r="L28" s="24">
        <f t="shared" si="3"/>
        <v>2</v>
      </c>
    </row>
    <row r="29" spans="1:12" x14ac:dyDescent="0.45">
      <c r="A29" s="8"/>
      <c r="B29" s="8"/>
      <c r="C29" s="24">
        <f t="shared" si="0"/>
        <v>0</v>
      </c>
      <c r="D29" s="24">
        <f t="shared" si="0"/>
        <v>0</v>
      </c>
      <c r="E29" s="8"/>
      <c r="F29" s="8"/>
      <c r="G29" s="24">
        <f t="shared" si="1"/>
        <v>0</v>
      </c>
      <c r="H29" s="24">
        <f t="shared" si="2"/>
        <v>0</v>
      </c>
      <c r="I29" s="8" t="s">
        <v>121</v>
      </c>
      <c r="J29" s="8" t="s">
        <v>214</v>
      </c>
      <c r="K29" s="24">
        <f t="shared" si="3"/>
        <v>1</v>
      </c>
      <c r="L29" s="24">
        <f t="shared" si="3"/>
        <v>2</v>
      </c>
    </row>
    <row r="30" spans="1:12" x14ac:dyDescent="0.45">
      <c r="A30" s="8"/>
      <c r="B30" s="8"/>
      <c r="C30" s="24">
        <f t="shared" si="0"/>
        <v>0</v>
      </c>
      <c r="D30" s="24">
        <f t="shared" si="0"/>
        <v>0</v>
      </c>
      <c r="E30" s="8"/>
      <c r="F30" s="8"/>
      <c r="G30" s="24">
        <f t="shared" si="1"/>
        <v>0</v>
      </c>
      <c r="H30" s="24">
        <f t="shared" si="2"/>
        <v>0</v>
      </c>
      <c r="I30" s="8" t="s">
        <v>127</v>
      </c>
      <c r="J30" s="8" t="s">
        <v>215</v>
      </c>
      <c r="K30" s="24">
        <f t="shared" si="3"/>
        <v>1</v>
      </c>
      <c r="L30" s="24">
        <f t="shared" si="3"/>
        <v>1</v>
      </c>
    </row>
    <row r="31" spans="1:12" x14ac:dyDescent="0.45">
      <c r="A31" s="8"/>
      <c r="B31" s="8"/>
      <c r="C31" s="24">
        <f t="shared" si="0"/>
        <v>0</v>
      </c>
      <c r="D31" s="24">
        <f t="shared" si="0"/>
        <v>0</v>
      </c>
      <c r="E31" s="8"/>
      <c r="F31" s="8"/>
      <c r="G31" s="24">
        <f t="shared" si="1"/>
        <v>0</v>
      </c>
      <c r="H31" s="24">
        <f t="shared" si="2"/>
        <v>0</v>
      </c>
      <c r="I31" s="8" t="s">
        <v>134</v>
      </c>
      <c r="J31" s="8" t="s">
        <v>229</v>
      </c>
      <c r="K31" s="24">
        <f t="shared" si="3"/>
        <v>1</v>
      </c>
      <c r="L31" s="24">
        <f t="shared" si="3"/>
        <v>2</v>
      </c>
    </row>
    <row r="32" spans="1:12" x14ac:dyDescent="0.45">
      <c r="A32" s="8"/>
      <c r="B32" s="8"/>
      <c r="C32" s="24">
        <f t="shared" si="0"/>
        <v>0</v>
      </c>
      <c r="D32" s="24">
        <f t="shared" si="0"/>
        <v>0</v>
      </c>
      <c r="E32" s="8"/>
      <c r="F32" s="8"/>
      <c r="G32" s="24">
        <f t="shared" si="1"/>
        <v>0</v>
      </c>
      <c r="H32" s="24">
        <f t="shared" si="2"/>
        <v>0</v>
      </c>
      <c r="I32" s="8" t="s">
        <v>139</v>
      </c>
      <c r="J32" s="8" t="s">
        <v>216</v>
      </c>
      <c r="K32" s="24">
        <f t="shared" si="3"/>
        <v>1</v>
      </c>
      <c r="L32" s="24">
        <f t="shared" si="3"/>
        <v>1</v>
      </c>
    </row>
    <row r="33" spans="1:12" x14ac:dyDescent="0.45">
      <c r="A33" s="8"/>
      <c r="B33" s="8"/>
      <c r="C33" s="24">
        <f t="shared" si="0"/>
        <v>0</v>
      </c>
      <c r="D33" s="24">
        <f t="shared" si="0"/>
        <v>0</v>
      </c>
      <c r="E33" s="8"/>
      <c r="F33" s="8"/>
      <c r="G33" s="24">
        <f t="shared" si="1"/>
        <v>0</v>
      </c>
      <c r="H33" s="24">
        <f t="shared" si="2"/>
        <v>0</v>
      </c>
      <c r="I33" s="8" t="s">
        <v>148</v>
      </c>
      <c r="J33" s="8" t="s">
        <v>217</v>
      </c>
      <c r="K33" s="24">
        <f t="shared" si="3"/>
        <v>1</v>
      </c>
      <c r="L33" s="24">
        <f t="shared" si="3"/>
        <v>2</v>
      </c>
    </row>
    <row r="34" spans="1:12" x14ac:dyDescent="0.45">
      <c r="A34" s="8"/>
      <c r="B34" s="8"/>
      <c r="C34" s="24">
        <f t="shared" si="0"/>
        <v>0</v>
      </c>
      <c r="D34" s="24">
        <f t="shared" si="0"/>
        <v>0</v>
      </c>
      <c r="E34" s="8"/>
      <c r="F34" s="8"/>
      <c r="G34" s="24">
        <f t="shared" si="1"/>
        <v>0</v>
      </c>
      <c r="H34" s="24">
        <f t="shared" si="2"/>
        <v>0</v>
      </c>
      <c r="I34" s="8" t="s">
        <v>153</v>
      </c>
      <c r="J34" s="8" t="s">
        <v>218</v>
      </c>
      <c r="K34" s="24">
        <f t="shared" si="3"/>
        <v>1</v>
      </c>
      <c r="L34" s="24">
        <f t="shared" si="3"/>
        <v>1</v>
      </c>
    </row>
    <row r="35" spans="1:12" x14ac:dyDescent="0.45">
      <c r="A35" s="8"/>
      <c r="B35" s="8"/>
      <c r="C35" s="24">
        <f t="shared" si="0"/>
        <v>0</v>
      </c>
      <c r="D35" s="24">
        <f t="shared" si="0"/>
        <v>0</v>
      </c>
      <c r="E35" s="8"/>
      <c r="F35" s="8"/>
      <c r="G35" s="24">
        <f t="shared" si="1"/>
        <v>0</v>
      </c>
      <c r="H35" s="24">
        <f t="shared" si="2"/>
        <v>0</v>
      </c>
      <c r="I35" s="8" t="s">
        <v>155</v>
      </c>
      <c r="J35" s="8" t="s">
        <v>219</v>
      </c>
      <c r="K35" s="24">
        <f t="shared" si="3"/>
        <v>1</v>
      </c>
      <c r="L35" s="24">
        <f t="shared" si="3"/>
        <v>2</v>
      </c>
    </row>
    <row r="36" spans="1:12" x14ac:dyDescent="0.45">
      <c r="A36" s="8"/>
      <c r="B36" s="8"/>
      <c r="C36" s="24">
        <f t="shared" si="0"/>
        <v>0</v>
      </c>
      <c r="D36" s="24">
        <f t="shared" si="0"/>
        <v>0</v>
      </c>
      <c r="E36" s="8"/>
      <c r="F36" s="8"/>
      <c r="G36" s="24">
        <f t="shared" si="1"/>
        <v>0</v>
      </c>
      <c r="H36" s="24">
        <f t="shared" si="2"/>
        <v>0</v>
      </c>
      <c r="I36" s="8" t="s">
        <v>160</v>
      </c>
      <c r="J36" s="8" t="s">
        <v>220</v>
      </c>
      <c r="K36" s="24">
        <f t="shared" si="3"/>
        <v>1</v>
      </c>
      <c r="L36" s="24">
        <f t="shared" si="3"/>
        <v>2</v>
      </c>
    </row>
    <row r="37" spans="1:12" x14ac:dyDescent="0.45">
      <c r="A37" s="8"/>
      <c r="B37" s="8"/>
      <c r="C37" s="24">
        <f t="shared" si="0"/>
        <v>0</v>
      </c>
      <c r="D37" s="24">
        <f t="shared" si="0"/>
        <v>0</v>
      </c>
      <c r="E37" s="8"/>
      <c r="F37" s="8"/>
      <c r="G37" s="24">
        <f t="shared" si="1"/>
        <v>0</v>
      </c>
      <c r="H37" s="24">
        <f t="shared" si="2"/>
        <v>0</v>
      </c>
      <c r="I37" s="8" t="s">
        <v>168</v>
      </c>
      <c r="J37" s="8" t="s">
        <v>246</v>
      </c>
      <c r="K37" s="24">
        <f t="shared" si="3"/>
        <v>1</v>
      </c>
      <c r="L37" s="24">
        <f t="shared" si="3"/>
        <v>4</v>
      </c>
    </row>
    <row r="38" spans="1:12" x14ac:dyDescent="0.45">
      <c r="A38" s="8"/>
      <c r="B38" s="8"/>
      <c r="C38" s="24">
        <f t="shared" si="0"/>
        <v>0</v>
      </c>
      <c r="D38" s="24">
        <f t="shared" si="0"/>
        <v>0</v>
      </c>
      <c r="E38" s="8"/>
      <c r="F38" s="8"/>
      <c r="G38" s="24">
        <f t="shared" si="1"/>
        <v>0</v>
      </c>
      <c r="H38" s="24">
        <f t="shared" si="2"/>
        <v>0</v>
      </c>
      <c r="I38" s="8" t="s">
        <v>169</v>
      </c>
      <c r="J38" s="8" t="s">
        <v>206</v>
      </c>
      <c r="K38" s="24">
        <f t="shared" si="3"/>
        <v>1</v>
      </c>
      <c r="L38" s="24">
        <f t="shared" si="3"/>
        <v>3</v>
      </c>
    </row>
    <row r="39" spans="1:12" x14ac:dyDescent="0.45">
      <c r="A39" s="8"/>
      <c r="B39" s="8"/>
      <c r="C39" s="24">
        <f t="shared" si="0"/>
        <v>0</v>
      </c>
      <c r="D39" s="24">
        <f t="shared" si="0"/>
        <v>0</v>
      </c>
      <c r="E39" s="8"/>
      <c r="F39" s="8"/>
      <c r="G39" s="24">
        <f t="shared" si="1"/>
        <v>0</v>
      </c>
      <c r="H39" s="24">
        <f t="shared" si="2"/>
        <v>0</v>
      </c>
      <c r="I39" s="8" t="s">
        <v>172</v>
      </c>
      <c r="J39" s="8" t="s">
        <v>226</v>
      </c>
      <c r="K39" s="24">
        <f t="shared" si="3"/>
        <v>1</v>
      </c>
      <c r="L39" s="24">
        <f t="shared" si="3"/>
        <v>1</v>
      </c>
    </row>
    <row r="40" spans="1:12" x14ac:dyDescent="0.45">
      <c r="A40" s="8"/>
      <c r="B40" s="8"/>
      <c r="C40" s="24">
        <f t="shared" si="0"/>
        <v>0</v>
      </c>
      <c r="D40" s="24">
        <f t="shared" si="0"/>
        <v>0</v>
      </c>
      <c r="E40" s="8"/>
      <c r="F40" s="8"/>
      <c r="G40" s="24">
        <f t="shared" si="1"/>
        <v>0</v>
      </c>
      <c r="H40" s="24">
        <f t="shared" si="2"/>
        <v>0</v>
      </c>
      <c r="I40" s="8" t="s">
        <v>178</v>
      </c>
      <c r="J40" s="8" t="s">
        <v>227</v>
      </c>
      <c r="K40" s="24">
        <f t="shared" si="3"/>
        <v>1</v>
      </c>
      <c r="L40" s="24">
        <f t="shared" si="3"/>
        <v>1</v>
      </c>
    </row>
    <row r="41" spans="1:12" x14ac:dyDescent="0.45">
      <c r="A41" s="8"/>
      <c r="B41" s="8"/>
      <c r="C41" s="24">
        <f t="shared" si="0"/>
        <v>0</v>
      </c>
      <c r="D41" s="24">
        <f t="shared" si="0"/>
        <v>0</v>
      </c>
      <c r="E41" s="8"/>
      <c r="F41" s="8"/>
      <c r="G41" s="24">
        <f t="shared" si="1"/>
        <v>0</v>
      </c>
      <c r="H41" s="24">
        <f t="shared" si="2"/>
        <v>0</v>
      </c>
      <c r="I41" s="8" t="s">
        <v>293</v>
      </c>
      <c r="J41" s="8" t="s">
        <v>231</v>
      </c>
      <c r="K41" s="24">
        <f t="shared" si="3"/>
        <v>1</v>
      </c>
      <c r="L41" s="24">
        <f t="shared" si="3"/>
        <v>1</v>
      </c>
    </row>
    <row r="42" spans="1:12" x14ac:dyDescent="0.45">
      <c r="A42" s="8"/>
      <c r="B42" s="8"/>
      <c r="C42" s="24">
        <f t="shared" si="0"/>
        <v>0</v>
      </c>
      <c r="D42" s="24">
        <f t="shared" si="0"/>
        <v>0</v>
      </c>
      <c r="E42" s="8"/>
      <c r="F42" s="8"/>
      <c r="G42" s="24">
        <f t="shared" si="1"/>
        <v>0</v>
      </c>
      <c r="H42" s="24">
        <f t="shared" si="2"/>
        <v>0</v>
      </c>
      <c r="I42" s="8" t="s">
        <v>294</v>
      </c>
      <c r="J42" s="8" t="s">
        <v>232</v>
      </c>
      <c r="K42" s="24">
        <f t="shared" si="3"/>
        <v>1</v>
      </c>
      <c r="L42" s="24">
        <f t="shared" si="3"/>
        <v>1</v>
      </c>
    </row>
    <row r="43" spans="1:12" x14ac:dyDescent="0.45">
      <c r="A43" s="8"/>
      <c r="B43" s="8"/>
      <c r="C43" s="24">
        <f t="shared" si="0"/>
        <v>0</v>
      </c>
      <c r="D43" s="24">
        <f t="shared" si="0"/>
        <v>0</v>
      </c>
      <c r="E43" s="8"/>
      <c r="F43" s="8"/>
      <c r="G43" s="24">
        <f t="shared" si="1"/>
        <v>0</v>
      </c>
      <c r="H43" s="24">
        <f t="shared" si="2"/>
        <v>0</v>
      </c>
      <c r="I43" s="8" t="s">
        <v>295</v>
      </c>
      <c r="J43" s="8" t="s">
        <v>202</v>
      </c>
      <c r="K43" s="24">
        <f t="shared" si="3"/>
        <v>1</v>
      </c>
      <c r="L43" s="24">
        <f t="shared" si="3"/>
        <v>3</v>
      </c>
    </row>
    <row r="44" spans="1:12" x14ac:dyDescent="0.45">
      <c r="A44" s="8"/>
      <c r="B44" s="8"/>
      <c r="C44" s="24">
        <f t="shared" si="0"/>
        <v>0</v>
      </c>
      <c r="D44" s="24">
        <f t="shared" si="0"/>
        <v>0</v>
      </c>
      <c r="E44" s="8"/>
      <c r="F44" s="8"/>
      <c r="G44" s="24">
        <f t="shared" si="1"/>
        <v>0</v>
      </c>
      <c r="H44" s="24">
        <f t="shared" si="2"/>
        <v>0</v>
      </c>
      <c r="I44" s="8" t="s">
        <v>296</v>
      </c>
      <c r="J44" s="8" t="s">
        <v>233</v>
      </c>
      <c r="K44" s="24">
        <f t="shared" si="3"/>
        <v>1</v>
      </c>
      <c r="L44" s="24">
        <f t="shared" si="3"/>
        <v>1</v>
      </c>
    </row>
    <row r="45" spans="1:12" x14ac:dyDescent="0.45">
      <c r="A45" s="8"/>
      <c r="B45" s="8"/>
      <c r="C45" s="24">
        <f t="shared" si="0"/>
        <v>0</v>
      </c>
      <c r="D45" s="24">
        <f t="shared" si="0"/>
        <v>0</v>
      </c>
      <c r="E45" s="8"/>
      <c r="F45" s="8"/>
      <c r="G45" s="24">
        <f t="shared" si="1"/>
        <v>0</v>
      </c>
      <c r="H45" s="24">
        <f t="shared" si="2"/>
        <v>0</v>
      </c>
      <c r="I45" s="8" t="s">
        <v>297</v>
      </c>
      <c r="J45" s="8" t="s">
        <v>234</v>
      </c>
      <c r="K45" s="24">
        <f t="shared" si="3"/>
        <v>1</v>
      </c>
      <c r="L45" s="24">
        <f t="shared" si="3"/>
        <v>1</v>
      </c>
    </row>
    <row r="46" spans="1:12" x14ac:dyDescent="0.45">
      <c r="A46" s="8"/>
      <c r="B46" s="8"/>
      <c r="C46" s="24">
        <f t="shared" si="0"/>
        <v>0</v>
      </c>
      <c r="D46" s="24">
        <f t="shared" si="0"/>
        <v>0</v>
      </c>
      <c r="E46" s="8"/>
      <c r="F46" s="8"/>
      <c r="G46" s="24">
        <f t="shared" si="1"/>
        <v>0</v>
      </c>
      <c r="H46" s="24">
        <f t="shared" si="2"/>
        <v>0</v>
      </c>
      <c r="I46" s="8" t="s">
        <v>298</v>
      </c>
      <c r="J46" s="8" t="s">
        <v>235</v>
      </c>
      <c r="K46" s="24">
        <f t="shared" si="3"/>
        <v>1</v>
      </c>
      <c r="L46" s="24">
        <f t="shared" si="3"/>
        <v>1</v>
      </c>
    </row>
    <row r="47" spans="1:12" x14ac:dyDescent="0.45">
      <c r="A47" s="8"/>
      <c r="B47" s="8"/>
      <c r="C47" s="24">
        <f t="shared" si="0"/>
        <v>0</v>
      </c>
      <c r="D47" s="24">
        <f t="shared" si="0"/>
        <v>0</v>
      </c>
      <c r="E47" s="8"/>
      <c r="F47" s="8"/>
      <c r="G47" s="24">
        <f t="shared" si="1"/>
        <v>0</v>
      </c>
      <c r="H47" s="24">
        <f t="shared" si="2"/>
        <v>0</v>
      </c>
      <c r="I47" s="8" t="s">
        <v>299</v>
      </c>
      <c r="J47" s="8" t="s">
        <v>236</v>
      </c>
      <c r="K47" s="24">
        <f t="shared" si="3"/>
        <v>1</v>
      </c>
      <c r="L47" s="24">
        <f t="shared" si="3"/>
        <v>2</v>
      </c>
    </row>
    <row r="48" spans="1:12" x14ac:dyDescent="0.45">
      <c r="A48" s="8"/>
      <c r="B48" s="8"/>
      <c r="C48" s="24">
        <f t="shared" si="0"/>
        <v>0</v>
      </c>
      <c r="D48" s="24">
        <f t="shared" si="0"/>
        <v>0</v>
      </c>
      <c r="E48" s="8"/>
      <c r="F48" s="8"/>
      <c r="G48" s="24">
        <f t="shared" si="1"/>
        <v>0</v>
      </c>
      <c r="H48" s="24">
        <f t="shared" si="2"/>
        <v>0</v>
      </c>
      <c r="I48" s="8" t="s">
        <v>300</v>
      </c>
      <c r="J48" s="8" t="s">
        <v>237</v>
      </c>
      <c r="K48" s="24">
        <f t="shared" si="3"/>
        <v>1</v>
      </c>
      <c r="L48" s="24">
        <f t="shared" si="3"/>
        <v>1</v>
      </c>
    </row>
    <row r="49" spans="1:12" x14ac:dyDescent="0.45">
      <c r="A49" s="8"/>
      <c r="B49" s="8"/>
      <c r="C49" s="24">
        <f t="shared" si="0"/>
        <v>0</v>
      </c>
      <c r="D49" s="24">
        <f t="shared" si="0"/>
        <v>0</v>
      </c>
      <c r="E49" s="8"/>
      <c r="F49" s="8"/>
      <c r="G49" s="24">
        <f t="shared" si="1"/>
        <v>0</v>
      </c>
      <c r="H49" s="24">
        <f t="shared" si="2"/>
        <v>0</v>
      </c>
      <c r="I49" s="8" t="s">
        <v>301</v>
      </c>
      <c r="J49" s="8" t="s">
        <v>238</v>
      </c>
      <c r="K49" s="24">
        <f t="shared" si="3"/>
        <v>1</v>
      </c>
      <c r="L49" s="24">
        <f t="shared" si="3"/>
        <v>1</v>
      </c>
    </row>
    <row r="50" spans="1:12" x14ac:dyDescent="0.45">
      <c r="A50" s="8"/>
      <c r="B50" s="8"/>
      <c r="C50" s="24">
        <f t="shared" si="0"/>
        <v>0</v>
      </c>
      <c r="D50" s="24">
        <f t="shared" si="0"/>
        <v>0</v>
      </c>
      <c r="E50" s="8"/>
      <c r="F50" s="8"/>
      <c r="G50" s="24">
        <f t="shared" si="1"/>
        <v>0</v>
      </c>
      <c r="H50" s="24">
        <f t="shared" si="2"/>
        <v>0</v>
      </c>
      <c r="I50" s="8" t="s">
        <v>302</v>
      </c>
      <c r="J50" s="8" t="s">
        <v>182</v>
      </c>
      <c r="K50" s="24">
        <f t="shared" si="3"/>
        <v>1</v>
      </c>
      <c r="L50" s="24">
        <f t="shared" si="3"/>
        <v>2</v>
      </c>
    </row>
    <row r="51" spans="1:12" x14ac:dyDescent="0.45">
      <c r="A51" s="8"/>
      <c r="B51" s="8"/>
      <c r="C51" s="24">
        <f t="shared" si="0"/>
        <v>0</v>
      </c>
      <c r="D51" s="24">
        <f t="shared" si="0"/>
        <v>0</v>
      </c>
      <c r="E51" s="8"/>
      <c r="F51" s="8"/>
      <c r="G51" s="24">
        <f t="shared" si="1"/>
        <v>0</v>
      </c>
      <c r="H51" s="24">
        <f t="shared" si="2"/>
        <v>0</v>
      </c>
      <c r="I51" s="8" t="s">
        <v>303</v>
      </c>
      <c r="J51" s="8" t="s">
        <v>239</v>
      </c>
      <c r="K51" s="24">
        <f t="shared" si="3"/>
        <v>1</v>
      </c>
      <c r="L51" s="24">
        <f t="shared" si="3"/>
        <v>1</v>
      </c>
    </row>
    <row r="52" spans="1:12" x14ac:dyDescent="0.45">
      <c r="A52" s="8"/>
      <c r="B52" s="8"/>
      <c r="C52" s="24">
        <f t="shared" si="0"/>
        <v>0</v>
      </c>
      <c r="D52" s="24">
        <f t="shared" si="0"/>
        <v>0</v>
      </c>
      <c r="E52" s="8"/>
      <c r="F52" s="8"/>
      <c r="G52" s="24">
        <f t="shared" si="1"/>
        <v>0</v>
      </c>
      <c r="H52" s="24">
        <f t="shared" si="2"/>
        <v>0</v>
      </c>
      <c r="I52" s="8" t="s">
        <v>86</v>
      </c>
      <c r="J52" s="8" t="s">
        <v>240</v>
      </c>
      <c r="K52" s="24">
        <f t="shared" si="3"/>
        <v>1</v>
      </c>
      <c r="L52" s="24">
        <f t="shared" si="3"/>
        <v>2</v>
      </c>
    </row>
    <row r="53" spans="1:12" x14ac:dyDescent="0.45">
      <c r="A53" s="8"/>
      <c r="B53" s="8"/>
      <c r="C53" s="24">
        <f t="shared" si="0"/>
        <v>0</v>
      </c>
      <c r="D53" s="24">
        <f t="shared" si="0"/>
        <v>0</v>
      </c>
      <c r="E53" s="8"/>
      <c r="F53" s="8"/>
      <c r="G53" s="24">
        <f t="shared" si="1"/>
        <v>0</v>
      </c>
      <c r="H53" s="24">
        <f t="shared" si="2"/>
        <v>0</v>
      </c>
      <c r="I53" s="8" t="s">
        <v>87</v>
      </c>
      <c r="J53" s="8" t="s">
        <v>241</v>
      </c>
      <c r="K53" s="24">
        <f t="shared" si="3"/>
        <v>1</v>
      </c>
      <c r="L53" s="24">
        <f t="shared" si="3"/>
        <v>1</v>
      </c>
    </row>
    <row r="54" spans="1:12" x14ac:dyDescent="0.45">
      <c r="A54" s="8"/>
      <c r="B54" s="8"/>
      <c r="C54" s="24">
        <f t="shared" si="0"/>
        <v>0</v>
      </c>
      <c r="D54" s="24">
        <f t="shared" si="0"/>
        <v>0</v>
      </c>
      <c r="E54" s="8"/>
      <c r="F54" s="8"/>
      <c r="G54" s="24">
        <f t="shared" si="1"/>
        <v>0</v>
      </c>
      <c r="H54" s="24">
        <f t="shared" si="2"/>
        <v>0</v>
      </c>
      <c r="I54" s="8" t="s">
        <v>88</v>
      </c>
      <c r="J54" s="8" t="s">
        <v>242</v>
      </c>
      <c r="K54" s="24">
        <f t="shared" si="3"/>
        <v>1</v>
      </c>
      <c r="L54" s="24">
        <f t="shared" si="3"/>
        <v>1</v>
      </c>
    </row>
    <row r="55" spans="1:12" x14ac:dyDescent="0.45">
      <c r="A55" s="8"/>
      <c r="B55" s="8"/>
      <c r="C55" s="24">
        <f t="shared" si="0"/>
        <v>0</v>
      </c>
      <c r="D55" s="24">
        <f t="shared" si="0"/>
        <v>0</v>
      </c>
      <c r="E55" s="8"/>
      <c r="F55" s="8"/>
      <c r="G55" s="24">
        <f t="shared" si="1"/>
        <v>0</v>
      </c>
      <c r="H55" s="24">
        <f t="shared" si="2"/>
        <v>0</v>
      </c>
      <c r="I55" s="8" t="s">
        <v>89</v>
      </c>
      <c r="J55" s="8" t="s">
        <v>243</v>
      </c>
      <c r="K55" s="24">
        <f t="shared" si="3"/>
        <v>1</v>
      </c>
      <c r="L55" s="24">
        <f t="shared" si="3"/>
        <v>1</v>
      </c>
    </row>
    <row r="56" spans="1:12" x14ac:dyDescent="0.45">
      <c r="A56" s="8"/>
      <c r="B56" s="8"/>
      <c r="C56" s="24">
        <f t="shared" si="0"/>
        <v>0</v>
      </c>
      <c r="D56" s="24">
        <f t="shared" si="0"/>
        <v>0</v>
      </c>
      <c r="E56" s="8"/>
      <c r="F56" s="8"/>
      <c r="G56" s="24">
        <f t="shared" si="1"/>
        <v>0</v>
      </c>
      <c r="H56" s="24">
        <f t="shared" si="2"/>
        <v>0</v>
      </c>
      <c r="I56" s="8" t="s">
        <v>90</v>
      </c>
      <c r="J56" s="8" t="s">
        <v>186</v>
      </c>
      <c r="K56" s="24">
        <f t="shared" si="3"/>
        <v>1</v>
      </c>
      <c r="L56" s="24">
        <f t="shared" si="3"/>
        <v>1</v>
      </c>
    </row>
    <row r="57" spans="1:12" x14ac:dyDescent="0.45">
      <c r="A57" s="8"/>
      <c r="B57" s="8"/>
      <c r="C57" s="24">
        <f t="shared" si="0"/>
        <v>0</v>
      </c>
      <c r="D57" s="24">
        <f t="shared" si="0"/>
        <v>0</v>
      </c>
      <c r="E57" s="8"/>
      <c r="F57" s="8"/>
      <c r="G57" s="24">
        <f t="shared" si="1"/>
        <v>0</v>
      </c>
      <c r="H57" s="24">
        <f t="shared" si="2"/>
        <v>0</v>
      </c>
      <c r="I57" s="8" t="s">
        <v>91</v>
      </c>
      <c r="J57" s="8" t="s">
        <v>244</v>
      </c>
      <c r="K57" s="24">
        <f t="shared" si="3"/>
        <v>1</v>
      </c>
      <c r="L57" s="24">
        <f t="shared" si="3"/>
        <v>1</v>
      </c>
    </row>
    <row r="58" spans="1:12" x14ac:dyDescent="0.45">
      <c r="A58" s="8"/>
      <c r="B58" s="8"/>
      <c r="C58" s="24">
        <f t="shared" si="0"/>
        <v>0</v>
      </c>
      <c r="D58" s="24">
        <f t="shared" si="0"/>
        <v>0</v>
      </c>
      <c r="E58" s="8"/>
      <c r="F58" s="8"/>
      <c r="G58" s="24">
        <f t="shared" si="1"/>
        <v>0</v>
      </c>
      <c r="H58" s="24">
        <f t="shared" si="2"/>
        <v>0</v>
      </c>
      <c r="I58" s="8" t="s">
        <v>92</v>
      </c>
      <c r="J58" s="8" t="s">
        <v>190</v>
      </c>
      <c r="K58" s="24">
        <f t="shared" si="3"/>
        <v>1</v>
      </c>
      <c r="L58" s="24">
        <f t="shared" si="3"/>
        <v>2</v>
      </c>
    </row>
    <row r="59" spans="1:12" x14ac:dyDescent="0.45">
      <c r="A59" s="8"/>
      <c r="B59" s="8"/>
      <c r="C59" s="24">
        <f t="shared" si="0"/>
        <v>0</v>
      </c>
      <c r="D59" s="24">
        <f t="shared" si="0"/>
        <v>0</v>
      </c>
      <c r="E59" s="8"/>
      <c r="F59" s="8"/>
      <c r="G59" s="24">
        <f t="shared" si="1"/>
        <v>0</v>
      </c>
      <c r="H59" s="24">
        <f t="shared" si="2"/>
        <v>0</v>
      </c>
      <c r="I59" s="8" t="s">
        <v>93</v>
      </c>
      <c r="J59" s="8" t="s">
        <v>245</v>
      </c>
      <c r="K59" s="24">
        <f t="shared" si="3"/>
        <v>1</v>
      </c>
      <c r="L59" s="24">
        <f t="shared" si="3"/>
        <v>2</v>
      </c>
    </row>
    <row r="60" spans="1:12" x14ac:dyDescent="0.45">
      <c r="A60" s="8"/>
      <c r="B60" s="8"/>
      <c r="C60" s="24">
        <f t="shared" si="0"/>
        <v>0</v>
      </c>
      <c r="D60" s="24">
        <f t="shared" si="0"/>
        <v>0</v>
      </c>
      <c r="E60" s="8"/>
      <c r="F60" s="8"/>
      <c r="G60" s="24">
        <f t="shared" si="1"/>
        <v>0</v>
      </c>
      <c r="H60" s="24">
        <f t="shared" si="2"/>
        <v>0</v>
      </c>
      <c r="I60" s="8" t="s">
        <v>94</v>
      </c>
      <c r="J60" s="8" t="s">
        <v>246</v>
      </c>
      <c r="K60" s="24">
        <f t="shared" si="3"/>
        <v>1</v>
      </c>
      <c r="L60" s="24">
        <f t="shared" si="3"/>
        <v>4</v>
      </c>
    </row>
    <row r="61" spans="1:12" x14ac:dyDescent="0.45">
      <c r="A61" s="8"/>
      <c r="B61" s="8"/>
      <c r="C61" s="24">
        <f t="shared" si="0"/>
        <v>0</v>
      </c>
      <c r="D61" s="24">
        <f t="shared" si="0"/>
        <v>0</v>
      </c>
      <c r="E61" s="8"/>
      <c r="F61" s="8"/>
      <c r="G61" s="24">
        <f t="shared" si="1"/>
        <v>0</v>
      </c>
      <c r="H61" s="24">
        <f t="shared" si="2"/>
        <v>0</v>
      </c>
      <c r="I61" s="8" t="s">
        <v>95</v>
      </c>
      <c r="J61" s="8" t="s">
        <v>229</v>
      </c>
      <c r="K61" s="24">
        <f t="shared" si="3"/>
        <v>1</v>
      </c>
      <c r="L61" s="24">
        <f t="shared" si="3"/>
        <v>2</v>
      </c>
    </row>
    <row r="62" spans="1:12" x14ac:dyDescent="0.45">
      <c r="A62" s="8"/>
      <c r="B62" s="8"/>
      <c r="C62" s="24">
        <f t="shared" si="0"/>
        <v>0</v>
      </c>
      <c r="D62" s="24">
        <f t="shared" si="0"/>
        <v>0</v>
      </c>
      <c r="E62" s="8"/>
      <c r="F62" s="8"/>
      <c r="G62" s="24">
        <f t="shared" si="1"/>
        <v>0</v>
      </c>
      <c r="H62" s="24">
        <f t="shared" si="2"/>
        <v>0</v>
      </c>
      <c r="I62" s="8" t="s">
        <v>96</v>
      </c>
      <c r="J62" s="8" t="s">
        <v>247</v>
      </c>
      <c r="K62" s="24">
        <f t="shared" si="3"/>
        <v>1</v>
      </c>
      <c r="L62" s="24">
        <f t="shared" si="3"/>
        <v>1</v>
      </c>
    </row>
    <row r="63" spans="1:12" x14ac:dyDescent="0.45">
      <c r="A63" s="8"/>
      <c r="B63" s="8"/>
      <c r="C63" s="24">
        <f t="shared" si="0"/>
        <v>0</v>
      </c>
      <c r="D63" s="24">
        <f t="shared" si="0"/>
        <v>0</v>
      </c>
      <c r="E63" s="8"/>
      <c r="F63" s="8"/>
      <c r="G63" s="24">
        <f t="shared" si="1"/>
        <v>0</v>
      </c>
      <c r="H63" s="24">
        <f t="shared" si="2"/>
        <v>0</v>
      </c>
      <c r="I63" s="8" t="s">
        <v>97</v>
      </c>
      <c r="J63" s="8" t="s">
        <v>248</v>
      </c>
      <c r="K63" s="24">
        <f t="shared" si="3"/>
        <v>1</v>
      </c>
      <c r="L63" s="24">
        <f t="shared" si="3"/>
        <v>1</v>
      </c>
    </row>
    <row r="64" spans="1:12" x14ac:dyDescent="0.45">
      <c r="A64" s="8"/>
      <c r="B64" s="8"/>
      <c r="C64" s="24">
        <f t="shared" si="0"/>
        <v>0</v>
      </c>
      <c r="D64" s="24">
        <f t="shared" si="0"/>
        <v>0</v>
      </c>
      <c r="E64" s="8"/>
      <c r="F64" s="8"/>
      <c r="G64" s="24">
        <f t="shared" si="1"/>
        <v>0</v>
      </c>
      <c r="H64" s="24">
        <f t="shared" si="2"/>
        <v>0</v>
      </c>
      <c r="I64" s="8" t="s">
        <v>98</v>
      </c>
      <c r="J64" s="8" t="s">
        <v>249</v>
      </c>
      <c r="K64" s="24">
        <f t="shared" si="3"/>
        <v>1</v>
      </c>
      <c r="L64" s="24">
        <f t="shared" si="3"/>
        <v>1</v>
      </c>
    </row>
    <row r="65" spans="1:12" x14ac:dyDescent="0.45">
      <c r="A65" s="8"/>
      <c r="B65" s="8"/>
      <c r="C65" s="24">
        <f t="shared" si="0"/>
        <v>0</v>
      </c>
      <c r="D65" s="24">
        <f t="shared" si="0"/>
        <v>0</v>
      </c>
      <c r="E65" s="8"/>
      <c r="F65" s="8"/>
      <c r="G65" s="24">
        <f t="shared" si="1"/>
        <v>0</v>
      </c>
      <c r="H65" s="24">
        <f t="shared" si="2"/>
        <v>0</v>
      </c>
      <c r="I65" s="8" t="s">
        <v>99</v>
      </c>
      <c r="J65" s="8" t="s">
        <v>192</v>
      </c>
      <c r="K65" s="24">
        <f t="shared" si="3"/>
        <v>1</v>
      </c>
      <c r="L65" s="24">
        <f t="shared" si="3"/>
        <v>2</v>
      </c>
    </row>
    <row r="66" spans="1:12" x14ac:dyDescent="0.45">
      <c r="A66" s="8"/>
      <c r="B66" s="8"/>
      <c r="C66" s="24">
        <f t="shared" si="0"/>
        <v>0</v>
      </c>
      <c r="D66" s="24">
        <f t="shared" si="0"/>
        <v>0</v>
      </c>
      <c r="E66" s="8"/>
      <c r="F66" s="8"/>
      <c r="G66" s="24">
        <f t="shared" si="1"/>
        <v>0</v>
      </c>
      <c r="H66" s="24">
        <f t="shared" si="2"/>
        <v>0</v>
      </c>
      <c r="I66" s="8" t="s">
        <v>100</v>
      </c>
      <c r="J66" s="8" t="s">
        <v>308</v>
      </c>
      <c r="K66" s="24">
        <f t="shared" si="3"/>
        <v>1</v>
      </c>
      <c r="L66" s="24">
        <f t="shared" si="3"/>
        <v>2</v>
      </c>
    </row>
    <row r="67" spans="1:12" x14ac:dyDescent="0.45">
      <c r="A67" s="8"/>
      <c r="B67" s="8"/>
      <c r="C67" s="24">
        <f t="shared" ref="C67:D130" si="4">COUNTIF(A$2:A$294,A67)</f>
        <v>0</v>
      </c>
      <c r="D67" s="24">
        <f t="shared" si="4"/>
        <v>0</v>
      </c>
      <c r="E67" s="8"/>
      <c r="F67" s="8"/>
      <c r="G67" s="24">
        <f t="shared" ref="G67:G130" si="5">COUNTIF(E$2:E$294,E67)</f>
        <v>0</v>
      </c>
      <c r="H67" s="24">
        <f t="shared" ref="H67:H130" si="6">COUNTIF($F$2:$F$294,F67)</f>
        <v>0</v>
      </c>
      <c r="I67" s="8" t="s">
        <v>101</v>
      </c>
      <c r="J67" s="8" t="s">
        <v>250</v>
      </c>
      <c r="K67" s="24">
        <f t="shared" ref="K67:L130" si="7">COUNTIF(I$2:I$294,I67)</f>
        <v>1</v>
      </c>
      <c r="L67" s="24">
        <f t="shared" si="7"/>
        <v>1</v>
      </c>
    </row>
    <row r="68" spans="1:12" x14ac:dyDescent="0.45">
      <c r="A68" s="8"/>
      <c r="B68" s="8"/>
      <c r="C68" s="24">
        <f t="shared" si="4"/>
        <v>0</v>
      </c>
      <c r="D68" s="24">
        <f t="shared" si="4"/>
        <v>0</v>
      </c>
      <c r="E68" s="8"/>
      <c r="F68" s="8"/>
      <c r="G68" s="24">
        <f t="shared" si="5"/>
        <v>0</v>
      </c>
      <c r="H68" s="24">
        <f t="shared" si="6"/>
        <v>0</v>
      </c>
      <c r="I68" s="8" t="s">
        <v>103</v>
      </c>
      <c r="J68" s="8" t="s">
        <v>212</v>
      </c>
      <c r="K68" s="24">
        <f t="shared" si="7"/>
        <v>1</v>
      </c>
      <c r="L68" s="24">
        <f t="shared" si="7"/>
        <v>2</v>
      </c>
    </row>
    <row r="69" spans="1:12" x14ac:dyDescent="0.45">
      <c r="A69" s="8"/>
      <c r="B69" s="8"/>
      <c r="C69" s="24">
        <f t="shared" si="4"/>
        <v>0</v>
      </c>
      <c r="D69" s="24">
        <f t="shared" si="4"/>
        <v>0</v>
      </c>
      <c r="E69" s="8"/>
      <c r="F69" s="8"/>
      <c r="G69" s="24">
        <f t="shared" si="5"/>
        <v>0</v>
      </c>
      <c r="H69" s="24">
        <f t="shared" si="6"/>
        <v>0</v>
      </c>
      <c r="I69" s="8" t="s">
        <v>104</v>
      </c>
      <c r="J69" s="8" t="s">
        <v>251</v>
      </c>
      <c r="K69" s="24">
        <f t="shared" si="7"/>
        <v>1</v>
      </c>
      <c r="L69" s="24">
        <f t="shared" si="7"/>
        <v>1</v>
      </c>
    </row>
    <row r="70" spans="1:12" x14ac:dyDescent="0.45">
      <c r="A70" s="8"/>
      <c r="B70" s="8"/>
      <c r="C70" s="24">
        <f t="shared" si="4"/>
        <v>0</v>
      </c>
      <c r="D70" s="24">
        <f t="shared" si="4"/>
        <v>0</v>
      </c>
      <c r="E70" s="8"/>
      <c r="F70" s="8"/>
      <c r="G70" s="24">
        <f t="shared" si="5"/>
        <v>0</v>
      </c>
      <c r="H70" s="24">
        <f t="shared" si="6"/>
        <v>0</v>
      </c>
      <c r="I70" s="8" t="s">
        <v>105</v>
      </c>
      <c r="J70" s="8" t="s">
        <v>252</v>
      </c>
      <c r="K70" s="24">
        <f t="shared" si="7"/>
        <v>1</v>
      </c>
      <c r="L70" s="24">
        <f t="shared" si="7"/>
        <v>2</v>
      </c>
    </row>
    <row r="71" spans="1:12" x14ac:dyDescent="0.45">
      <c r="A71" s="8"/>
      <c r="B71" s="8"/>
      <c r="C71" s="24">
        <f t="shared" si="4"/>
        <v>0</v>
      </c>
      <c r="D71" s="24">
        <f t="shared" si="4"/>
        <v>0</v>
      </c>
      <c r="E71" s="8"/>
      <c r="F71" s="8"/>
      <c r="G71" s="24">
        <f t="shared" si="5"/>
        <v>0</v>
      </c>
      <c r="H71" s="24">
        <f t="shared" si="6"/>
        <v>0</v>
      </c>
      <c r="I71" s="8" t="s">
        <v>106</v>
      </c>
      <c r="J71" s="8" t="s">
        <v>205</v>
      </c>
      <c r="K71" s="24">
        <f t="shared" si="7"/>
        <v>1</v>
      </c>
      <c r="L71" s="24">
        <f t="shared" si="7"/>
        <v>2</v>
      </c>
    </row>
    <row r="72" spans="1:12" x14ac:dyDescent="0.45">
      <c r="A72" s="8"/>
      <c r="B72" s="8"/>
      <c r="C72" s="24">
        <f t="shared" si="4"/>
        <v>0</v>
      </c>
      <c r="D72" s="24">
        <f t="shared" si="4"/>
        <v>0</v>
      </c>
      <c r="E72" s="8"/>
      <c r="F72" s="8"/>
      <c r="G72" s="24">
        <f t="shared" si="5"/>
        <v>0</v>
      </c>
      <c r="H72" s="24">
        <f t="shared" si="6"/>
        <v>0</v>
      </c>
      <c r="I72" s="8" t="s">
        <v>107</v>
      </c>
      <c r="J72" s="8" t="s">
        <v>253</v>
      </c>
      <c r="K72" s="24">
        <f t="shared" si="7"/>
        <v>1</v>
      </c>
      <c r="L72" s="24">
        <f t="shared" si="7"/>
        <v>2</v>
      </c>
    </row>
    <row r="73" spans="1:12" x14ac:dyDescent="0.45">
      <c r="A73" s="8"/>
      <c r="B73" s="8"/>
      <c r="C73" s="24">
        <f t="shared" si="4"/>
        <v>0</v>
      </c>
      <c r="D73" s="24">
        <f t="shared" si="4"/>
        <v>0</v>
      </c>
      <c r="E73" s="8"/>
      <c r="F73" s="8"/>
      <c r="G73" s="24">
        <f t="shared" si="5"/>
        <v>0</v>
      </c>
      <c r="H73" s="24">
        <f t="shared" si="6"/>
        <v>0</v>
      </c>
      <c r="I73" s="8" t="s">
        <v>108</v>
      </c>
      <c r="J73" s="8" t="s">
        <v>197</v>
      </c>
      <c r="K73" s="24">
        <f t="shared" si="7"/>
        <v>1</v>
      </c>
      <c r="L73" s="24">
        <f t="shared" si="7"/>
        <v>3</v>
      </c>
    </row>
    <row r="74" spans="1:12" x14ac:dyDescent="0.45">
      <c r="A74" s="8"/>
      <c r="B74" s="8"/>
      <c r="C74" s="24">
        <f t="shared" si="4"/>
        <v>0</v>
      </c>
      <c r="D74" s="24">
        <f t="shared" si="4"/>
        <v>0</v>
      </c>
      <c r="E74" s="8"/>
      <c r="F74" s="8"/>
      <c r="G74" s="24">
        <f t="shared" si="5"/>
        <v>0</v>
      </c>
      <c r="H74" s="24">
        <f t="shared" si="6"/>
        <v>0</v>
      </c>
      <c r="I74" s="8" t="s">
        <v>109</v>
      </c>
      <c r="J74" s="8" t="s">
        <v>236</v>
      </c>
      <c r="K74" s="24">
        <f t="shared" si="7"/>
        <v>1</v>
      </c>
      <c r="L74" s="24">
        <f t="shared" si="7"/>
        <v>2</v>
      </c>
    </row>
    <row r="75" spans="1:12" x14ac:dyDescent="0.45">
      <c r="A75" s="8"/>
      <c r="B75" s="8"/>
      <c r="C75" s="24">
        <f t="shared" si="4"/>
        <v>0</v>
      </c>
      <c r="D75" s="24">
        <f t="shared" si="4"/>
        <v>0</v>
      </c>
      <c r="E75" s="8"/>
      <c r="F75" s="8"/>
      <c r="G75" s="24">
        <f t="shared" si="5"/>
        <v>0</v>
      </c>
      <c r="H75" s="24">
        <f t="shared" si="6"/>
        <v>0</v>
      </c>
      <c r="I75" s="8" t="s">
        <v>110</v>
      </c>
      <c r="J75" s="8" t="s">
        <v>254</v>
      </c>
      <c r="K75" s="24">
        <f t="shared" si="7"/>
        <v>1</v>
      </c>
      <c r="L75" s="24">
        <f t="shared" si="7"/>
        <v>1</v>
      </c>
    </row>
    <row r="76" spans="1:12" x14ac:dyDescent="0.45">
      <c r="A76" s="8"/>
      <c r="B76" s="8"/>
      <c r="C76" s="24">
        <f t="shared" si="4"/>
        <v>0</v>
      </c>
      <c r="D76" s="24">
        <f t="shared" si="4"/>
        <v>0</v>
      </c>
      <c r="E76" s="8"/>
      <c r="F76" s="8"/>
      <c r="G76" s="24">
        <f t="shared" si="5"/>
        <v>0</v>
      </c>
      <c r="H76" s="24">
        <f t="shared" si="6"/>
        <v>0</v>
      </c>
      <c r="I76" s="8" t="s">
        <v>111</v>
      </c>
      <c r="J76" s="8" t="s">
        <v>255</v>
      </c>
      <c r="K76" s="24">
        <f t="shared" si="7"/>
        <v>1</v>
      </c>
      <c r="L76" s="24">
        <f t="shared" si="7"/>
        <v>2</v>
      </c>
    </row>
    <row r="77" spans="1:12" x14ac:dyDescent="0.45">
      <c r="A77" s="8"/>
      <c r="B77" s="8"/>
      <c r="C77" s="24">
        <f t="shared" si="4"/>
        <v>0</v>
      </c>
      <c r="D77" s="24">
        <f t="shared" si="4"/>
        <v>0</v>
      </c>
      <c r="E77" s="8"/>
      <c r="F77" s="8"/>
      <c r="G77" s="24">
        <f t="shared" si="5"/>
        <v>0</v>
      </c>
      <c r="H77" s="24">
        <f t="shared" si="6"/>
        <v>0</v>
      </c>
      <c r="I77" s="8" t="s">
        <v>112</v>
      </c>
      <c r="J77" s="8" t="s">
        <v>256</v>
      </c>
      <c r="K77" s="24">
        <f t="shared" si="7"/>
        <v>1</v>
      </c>
      <c r="L77" s="24">
        <f t="shared" si="7"/>
        <v>2</v>
      </c>
    </row>
    <row r="78" spans="1:12" x14ac:dyDescent="0.45">
      <c r="A78" s="8"/>
      <c r="B78" s="8"/>
      <c r="C78" s="24">
        <f t="shared" si="4"/>
        <v>0</v>
      </c>
      <c r="D78" s="24">
        <f t="shared" si="4"/>
        <v>0</v>
      </c>
      <c r="E78" s="8"/>
      <c r="F78" s="8"/>
      <c r="G78" s="24">
        <f t="shared" si="5"/>
        <v>0</v>
      </c>
      <c r="H78" s="24">
        <f t="shared" si="6"/>
        <v>0</v>
      </c>
      <c r="I78" s="8" t="s">
        <v>292</v>
      </c>
      <c r="J78" s="8" t="s">
        <v>187</v>
      </c>
      <c r="K78" s="24">
        <f t="shared" si="7"/>
        <v>1</v>
      </c>
      <c r="L78" s="24">
        <f t="shared" si="7"/>
        <v>2</v>
      </c>
    </row>
    <row r="79" spans="1:12" x14ac:dyDescent="0.45">
      <c r="A79" s="8"/>
      <c r="B79" s="8"/>
      <c r="C79" s="24">
        <f t="shared" si="4"/>
        <v>0</v>
      </c>
      <c r="D79" s="24">
        <f t="shared" si="4"/>
        <v>0</v>
      </c>
      <c r="E79" s="8"/>
      <c r="F79" s="8"/>
      <c r="G79" s="24">
        <f t="shared" si="5"/>
        <v>0</v>
      </c>
      <c r="H79" s="24">
        <f t="shared" si="6"/>
        <v>0</v>
      </c>
      <c r="I79" s="8" t="s">
        <v>116</v>
      </c>
      <c r="J79" s="8" t="s">
        <v>213</v>
      </c>
      <c r="K79" s="24">
        <f t="shared" si="7"/>
        <v>1</v>
      </c>
      <c r="L79" s="24">
        <f t="shared" si="7"/>
        <v>2</v>
      </c>
    </row>
    <row r="80" spans="1:12" x14ac:dyDescent="0.45">
      <c r="A80" s="8"/>
      <c r="B80" s="8"/>
      <c r="C80" s="24">
        <f t="shared" si="4"/>
        <v>0</v>
      </c>
      <c r="D80" s="24">
        <f t="shared" si="4"/>
        <v>0</v>
      </c>
      <c r="E80" s="8"/>
      <c r="F80" s="8"/>
      <c r="G80" s="24">
        <f t="shared" si="5"/>
        <v>0</v>
      </c>
      <c r="H80" s="24">
        <f t="shared" si="6"/>
        <v>0</v>
      </c>
      <c r="I80" s="8" t="s">
        <v>117</v>
      </c>
      <c r="J80" s="8" t="s">
        <v>257</v>
      </c>
      <c r="K80" s="24">
        <f t="shared" si="7"/>
        <v>1</v>
      </c>
      <c r="L80" s="24">
        <f t="shared" si="7"/>
        <v>1</v>
      </c>
    </row>
    <row r="81" spans="1:12" x14ac:dyDescent="0.45">
      <c r="A81" s="8"/>
      <c r="B81" s="8"/>
      <c r="C81" s="24">
        <f t="shared" si="4"/>
        <v>0</v>
      </c>
      <c r="D81" s="24">
        <f t="shared" si="4"/>
        <v>0</v>
      </c>
      <c r="E81" s="8"/>
      <c r="F81" s="8"/>
      <c r="G81" s="24">
        <f t="shared" si="5"/>
        <v>0</v>
      </c>
      <c r="H81" s="24">
        <f t="shared" si="6"/>
        <v>0</v>
      </c>
      <c r="I81" s="8" t="s">
        <v>118</v>
      </c>
      <c r="J81" s="8" t="s">
        <v>258</v>
      </c>
      <c r="K81" s="24">
        <f t="shared" si="7"/>
        <v>1</v>
      </c>
      <c r="L81" s="24">
        <f t="shared" si="7"/>
        <v>2</v>
      </c>
    </row>
    <row r="82" spans="1:12" x14ac:dyDescent="0.45">
      <c r="A82" s="8"/>
      <c r="B82" s="8"/>
      <c r="C82" s="24">
        <f t="shared" si="4"/>
        <v>0</v>
      </c>
      <c r="D82" s="24">
        <f t="shared" si="4"/>
        <v>0</v>
      </c>
      <c r="E82" s="8"/>
      <c r="F82" s="8"/>
      <c r="G82" s="24">
        <f t="shared" si="5"/>
        <v>0</v>
      </c>
      <c r="H82" s="24">
        <f t="shared" si="6"/>
        <v>0</v>
      </c>
      <c r="I82" s="8" t="s">
        <v>119</v>
      </c>
      <c r="J82" s="8" t="s">
        <v>259</v>
      </c>
      <c r="K82" s="24">
        <f t="shared" si="7"/>
        <v>1</v>
      </c>
      <c r="L82" s="24">
        <f t="shared" si="7"/>
        <v>1</v>
      </c>
    </row>
    <row r="83" spans="1:12" x14ac:dyDescent="0.45">
      <c r="A83" s="8"/>
      <c r="B83" s="8"/>
      <c r="C83" s="24">
        <f t="shared" si="4"/>
        <v>0</v>
      </c>
      <c r="D83" s="24">
        <f t="shared" si="4"/>
        <v>0</v>
      </c>
      <c r="E83" s="8"/>
      <c r="F83" s="8"/>
      <c r="G83" s="24">
        <f t="shared" si="5"/>
        <v>0</v>
      </c>
      <c r="H83" s="24">
        <f t="shared" si="6"/>
        <v>0</v>
      </c>
      <c r="I83" s="8" t="s">
        <v>120</v>
      </c>
      <c r="J83" s="8" t="s">
        <v>260</v>
      </c>
      <c r="K83" s="24">
        <f t="shared" si="7"/>
        <v>1</v>
      </c>
      <c r="L83" s="24">
        <f t="shared" si="7"/>
        <v>1</v>
      </c>
    </row>
    <row r="84" spans="1:12" x14ac:dyDescent="0.45">
      <c r="A84" s="8"/>
      <c r="B84" s="8"/>
      <c r="C84" s="24">
        <f t="shared" si="4"/>
        <v>0</v>
      </c>
      <c r="D84" s="24">
        <f t="shared" si="4"/>
        <v>0</v>
      </c>
      <c r="E84" s="8"/>
      <c r="F84" s="8"/>
      <c r="G84" s="24">
        <f t="shared" si="5"/>
        <v>0</v>
      </c>
      <c r="H84" s="24">
        <f t="shared" si="6"/>
        <v>0</v>
      </c>
      <c r="I84" s="8" t="s">
        <v>122</v>
      </c>
      <c r="J84" s="8" t="s">
        <v>217</v>
      </c>
      <c r="K84" s="24">
        <f t="shared" si="7"/>
        <v>1</v>
      </c>
      <c r="L84" s="24">
        <f t="shared" si="7"/>
        <v>2</v>
      </c>
    </row>
    <row r="85" spans="1:12" x14ac:dyDescent="0.45">
      <c r="A85" s="8"/>
      <c r="B85" s="8"/>
      <c r="C85" s="24">
        <f t="shared" si="4"/>
        <v>0</v>
      </c>
      <c r="D85" s="24">
        <f t="shared" si="4"/>
        <v>0</v>
      </c>
      <c r="E85" s="8"/>
      <c r="F85" s="8"/>
      <c r="G85" s="24">
        <f t="shared" si="5"/>
        <v>0</v>
      </c>
      <c r="H85" s="24">
        <f t="shared" si="6"/>
        <v>0</v>
      </c>
      <c r="I85" s="8" t="s">
        <v>123</v>
      </c>
      <c r="J85" s="8" t="s">
        <v>261</v>
      </c>
      <c r="K85" s="24">
        <f t="shared" si="7"/>
        <v>1</v>
      </c>
      <c r="L85" s="24">
        <f t="shared" si="7"/>
        <v>1</v>
      </c>
    </row>
    <row r="86" spans="1:12" x14ac:dyDescent="0.45">
      <c r="A86" s="8"/>
      <c r="B86" s="8"/>
      <c r="C86" s="24">
        <f t="shared" si="4"/>
        <v>0</v>
      </c>
      <c r="D86" s="24">
        <f t="shared" si="4"/>
        <v>0</v>
      </c>
      <c r="E86" s="8"/>
      <c r="F86" s="8"/>
      <c r="G86" s="24">
        <f t="shared" si="5"/>
        <v>0</v>
      </c>
      <c r="H86" s="24">
        <f t="shared" si="6"/>
        <v>0</v>
      </c>
      <c r="I86" s="8" t="s">
        <v>124</v>
      </c>
      <c r="J86" s="8" t="s">
        <v>219</v>
      </c>
      <c r="K86" s="24">
        <f t="shared" si="7"/>
        <v>1</v>
      </c>
      <c r="L86" s="24">
        <f t="shared" si="7"/>
        <v>2</v>
      </c>
    </row>
    <row r="87" spans="1:12" x14ac:dyDescent="0.45">
      <c r="A87" s="8"/>
      <c r="B87" s="8"/>
      <c r="C87" s="24">
        <f t="shared" si="4"/>
        <v>0</v>
      </c>
      <c r="D87" s="24">
        <f t="shared" si="4"/>
        <v>0</v>
      </c>
      <c r="E87" s="8"/>
      <c r="F87" s="8"/>
      <c r="G87" s="24">
        <f t="shared" si="5"/>
        <v>0</v>
      </c>
      <c r="H87" s="24">
        <f t="shared" si="6"/>
        <v>0</v>
      </c>
      <c r="I87" s="8" t="s">
        <v>125</v>
      </c>
      <c r="J87" s="8" t="s">
        <v>262</v>
      </c>
      <c r="K87" s="24">
        <f t="shared" si="7"/>
        <v>1</v>
      </c>
      <c r="L87" s="24">
        <f t="shared" si="7"/>
        <v>1</v>
      </c>
    </row>
    <row r="88" spans="1:12" x14ac:dyDescent="0.45">
      <c r="A88" s="8"/>
      <c r="B88" s="8"/>
      <c r="C88" s="24">
        <f t="shared" si="4"/>
        <v>0</v>
      </c>
      <c r="D88" s="24">
        <f t="shared" si="4"/>
        <v>0</v>
      </c>
      <c r="E88" s="8"/>
      <c r="F88" s="8"/>
      <c r="G88" s="24">
        <f t="shared" si="5"/>
        <v>0</v>
      </c>
      <c r="H88" s="24">
        <f t="shared" si="6"/>
        <v>0</v>
      </c>
      <c r="I88" s="8" t="s">
        <v>304</v>
      </c>
      <c r="J88" s="8" t="s">
        <v>263</v>
      </c>
      <c r="K88" s="24">
        <f t="shared" si="7"/>
        <v>1</v>
      </c>
      <c r="L88" s="24">
        <f t="shared" si="7"/>
        <v>1</v>
      </c>
    </row>
    <row r="89" spans="1:12" x14ac:dyDescent="0.45">
      <c r="A89" s="8"/>
      <c r="B89" s="8"/>
      <c r="C89" s="24">
        <f t="shared" si="4"/>
        <v>0</v>
      </c>
      <c r="D89" s="24">
        <f t="shared" si="4"/>
        <v>0</v>
      </c>
      <c r="E89" s="8"/>
      <c r="F89" s="8"/>
      <c r="G89" s="24">
        <f t="shared" si="5"/>
        <v>0</v>
      </c>
      <c r="H89" s="24">
        <f t="shared" si="6"/>
        <v>0</v>
      </c>
      <c r="I89" s="8" t="s">
        <v>128</v>
      </c>
      <c r="J89" s="8" t="s">
        <v>264</v>
      </c>
      <c r="K89" s="24">
        <f t="shared" si="7"/>
        <v>1</v>
      </c>
      <c r="L89" s="24">
        <f t="shared" si="7"/>
        <v>2</v>
      </c>
    </row>
    <row r="90" spans="1:12" x14ac:dyDescent="0.45">
      <c r="A90" s="8"/>
      <c r="B90" s="8"/>
      <c r="C90" s="24">
        <f t="shared" si="4"/>
        <v>0</v>
      </c>
      <c r="D90" s="24">
        <f t="shared" si="4"/>
        <v>0</v>
      </c>
      <c r="E90" s="8"/>
      <c r="F90" s="8"/>
      <c r="G90" s="24">
        <f t="shared" si="5"/>
        <v>0</v>
      </c>
      <c r="H90" s="24">
        <f t="shared" si="6"/>
        <v>0</v>
      </c>
      <c r="I90" s="8" t="s">
        <v>129</v>
      </c>
      <c r="J90" s="8" t="s">
        <v>189</v>
      </c>
      <c r="K90" s="24">
        <f t="shared" si="7"/>
        <v>1</v>
      </c>
      <c r="L90" s="24">
        <f t="shared" si="7"/>
        <v>2</v>
      </c>
    </row>
    <row r="91" spans="1:12" x14ac:dyDescent="0.45">
      <c r="A91" s="8"/>
      <c r="B91" s="8"/>
      <c r="C91" s="24">
        <f t="shared" si="4"/>
        <v>0</v>
      </c>
      <c r="D91" s="24">
        <f t="shared" si="4"/>
        <v>0</v>
      </c>
      <c r="E91" s="8"/>
      <c r="F91" s="8"/>
      <c r="G91" s="24">
        <f t="shared" si="5"/>
        <v>0</v>
      </c>
      <c r="H91" s="24">
        <f t="shared" si="6"/>
        <v>0</v>
      </c>
      <c r="I91" s="8" t="s">
        <v>130</v>
      </c>
      <c r="J91" s="8" t="s">
        <v>252</v>
      </c>
      <c r="K91" s="24">
        <f t="shared" si="7"/>
        <v>1</v>
      </c>
      <c r="L91" s="24">
        <f t="shared" si="7"/>
        <v>2</v>
      </c>
    </row>
    <row r="92" spans="1:12" x14ac:dyDescent="0.45">
      <c r="A92" s="8"/>
      <c r="B92" s="8"/>
      <c r="C92" s="24">
        <f t="shared" si="4"/>
        <v>0</v>
      </c>
      <c r="D92" s="24">
        <f t="shared" si="4"/>
        <v>0</v>
      </c>
      <c r="E92" s="8"/>
      <c r="F92" s="8"/>
      <c r="G92" s="24">
        <f t="shared" si="5"/>
        <v>0</v>
      </c>
      <c r="H92" s="24">
        <f t="shared" si="6"/>
        <v>0</v>
      </c>
      <c r="I92" s="8" t="s">
        <v>131</v>
      </c>
      <c r="J92" s="8" t="s">
        <v>202</v>
      </c>
      <c r="K92" s="24">
        <f t="shared" si="7"/>
        <v>1</v>
      </c>
      <c r="L92" s="24">
        <f t="shared" si="7"/>
        <v>3</v>
      </c>
    </row>
    <row r="93" spans="1:12" x14ac:dyDescent="0.45">
      <c r="A93" s="8"/>
      <c r="B93" s="8"/>
      <c r="C93" s="24">
        <f t="shared" si="4"/>
        <v>0</v>
      </c>
      <c r="D93" s="24">
        <f t="shared" si="4"/>
        <v>0</v>
      </c>
      <c r="E93" s="8"/>
      <c r="F93" s="8"/>
      <c r="G93" s="24">
        <f t="shared" si="5"/>
        <v>0</v>
      </c>
      <c r="H93" s="24">
        <f t="shared" si="6"/>
        <v>0</v>
      </c>
      <c r="I93" s="8" t="s">
        <v>132</v>
      </c>
      <c r="J93" s="8" t="s">
        <v>265</v>
      </c>
      <c r="K93" s="24">
        <f t="shared" si="7"/>
        <v>1</v>
      </c>
      <c r="L93" s="24">
        <f t="shared" si="7"/>
        <v>1</v>
      </c>
    </row>
    <row r="94" spans="1:12" x14ac:dyDescent="0.45">
      <c r="A94" s="8"/>
      <c r="B94" s="8"/>
      <c r="C94" s="24">
        <f t="shared" si="4"/>
        <v>0</v>
      </c>
      <c r="D94" s="24">
        <f t="shared" si="4"/>
        <v>0</v>
      </c>
      <c r="E94" s="8"/>
      <c r="F94" s="8"/>
      <c r="G94" s="24">
        <f t="shared" si="5"/>
        <v>0</v>
      </c>
      <c r="H94" s="24">
        <f t="shared" si="6"/>
        <v>0</v>
      </c>
      <c r="I94" s="8" t="s">
        <v>133</v>
      </c>
      <c r="J94" s="8" t="s">
        <v>253</v>
      </c>
      <c r="K94" s="24">
        <f t="shared" si="7"/>
        <v>1</v>
      </c>
      <c r="L94" s="24">
        <f t="shared" si="7"/>
        <v>2</v>
      </c>
    </row>
    <row r="95" spans="1:12" x14ac:dyDescent="0.45">
      <c r="A95" s="8"/>
      <c r="B95" s="8"/>
      <c r="C95" s="24">
        <f t="shared" si="4"/>
        <v>0</v>
      </c>
      <c r="D95" s="24">
        <f t="shared" si="4"/>
        <v>0</v>
      </c>
      <c r="E95" s="8"/>
      <c r="F95" s="8"/>
      <c r="G95" s="24">
        <f t="shared" si="5"/>
        <v>0</v>
      </c>
      <c r="H95" s="24">
        <f t="shared" si="6"/>
        <v>0</v>
      </c>
      <c r="I95" s="8" t="s">
        <v>135</v>
      </c>
      <c r="J95" s="8" t="s">
        <v>266</v>
      </c>
      <c r="K95" s="24">
        <f t="shared" si="7"/>
        <v>1</v>
      </c>
      <c r="L95" s="24">
        <f t="shared" si="7"/>
        <v>1</v>
      </c>
    </row>
    <row r="96" spans="1:12" x14ac:dyDescent="0.45">
      <c r="A96" s="8"/>
      <c r="B96" s="8"/>
      <c r="C96" s="24">
        <f t="shared" si="4"/>
        <v>0</v>
      </c>
      <c r="D96" s="24">
        <f t="shared" si="4"/>
        <v>0</v>
      </c>
      <c r="E96" s="8"/>
      <c r="F96" s="8"/>
      <c r="G96" s="24">
        <f t="shared" si="5"/>
        <v>0</v>
      </c>
      <c r="H96" s="24">
        <f t="shared" si="6"/>
        <v>0</v>
      </c>
      <c r="I96" s="8" t="s">
        <v>136</v>
      </c>
      <c r="J96" s="8" t="s">
        <v>267</v>
      </c>
      <c r="K96" s="24">
        <f t="shared" si="7"/>
        <v>1</v>
      </c>
      <c r="L96" s="24">
        <f t="shared" si="7"/>
        <v>1</v>
      </c>
    </row>
    <row r="97" spans="1:12" x14ac:dyDescent="0.45">
      <c r="A97" s="8"/>
      <c r="B97" s="8"/>
      <c r="C97" s="24">
        <f t="shared" si="4"/>
        <v>0</v>
      </c>
      <c r="D97" s="24">
        <f t="shared" si="4"/>
        <v>0</v>
      </c>
      <c r="E97" s="8"/>
      <c r="F97" s="8"/>
      <c r="G97" s="24">
        <f t="shared" si="5"/>
        <v>0</v>
      </c>
      <c r="H97" s="24">
        <f t="shared" si="6"/>
        <v>0</v>
      </c>
      <c r="I97" s="8" t="s">
        <v>137</v>
      </c>
      <c r="J97" s="8" t="s">
        <v>246</v>
      </c>
      <c r="K97" s="24">
        <f t="shared" si="7"/>
        <v>1</v>
      </c>
      <c r="L97" s="24">
        <f t="shared" si="7"/>
        <v>4</v>
      </c>
    </row>
    <row r="98" spans="1:12" x14ac:dyDescent="0.45">
      <c r="A98" s="8"/>
      <c r="B98" s="8"/>
      <c r="C98" s="24">
        <f t="shared" si="4"/>
        <v>0</v>
      </c>
      <c r="D98" s="24">
        <f t="shared" si="4"/>
        <v>0</v>
      </c>
      <c r="E98" s="8"/>
      <c r="F98" s="8"/>
      <c r="G98" s="24">
        <f t="shared" si="5"/>
        <v>0</v>
      </c>
      <c r="H98" s="24">
        <f t="shared" si="6"/>
        <v>0</v>
      </c>
      <c r="I98" s="8" t="s">
        <v>138</v>
      </c>
      <c r="J98" s="8" t="s">
        <v>268</v>
      </c>
      <c r="K98" s="24">
        <f t="shared" si="7"/>
        <v>1</v>
      </c>
      <c r="L98" s="24">
        <f t="shared" si="7"/>
        <v>1</v>
      </c>
    </row>
    <row r="99" spans="1:12" x14ac:dyDescent="0.45">
      <c r="A99" s="8"/>
      <c r="B99" s="8"/>
      <c r="C99" s="24">
        <f t="shared" si="4"/>
        <v>0</v>
      </c>
      <c r="D99" s="24">
        <f t="shared" si="4"/>
        <v>0</v>
      </c>
      <c r="E99" s="8"/>
      <c r="F99" s="8"/>
      <c r="G99" s="24">
        <f t="shared" si="5"/>
        <v>0</v>
      </c>
      <c r="H99" s="24">
        <f t="shared" si="6"/>
        <v>0</v>
      </c>
      <c r="I99" s="8" t="s">
        <v>140</v>
      </c>
      <c r="J99" s="8" t="s">
        <v>269</v>
      </c>
      <c r="K99" s="24">
        <f t="shared" si="7"/>
        <v>1</v>
      </c>
      <c r="L99" s="24">
        <f t="shared" si="7"/>
        <v>1</v>
      </c>
    </row>
    <row r="100" spans="1:12" x14ac:dyDescent="0.45">
      <c r="A100" s="8"/>
      <c r="B100" s="8"/>
      <c r="C100" s="24">
        <f t="shared" si="4"/>
        <v>0</v>
      </c>
      <c r="D100" s="24">
        <f t="shared" si="4"/>
        <v>0</v>
      </c>
      <c r="E100" s="8"/>
      <c r="F100" s="8"/>
      <c r="G100" s="24">
        <f t="shared" si="5"/>
        <v>0</v>
      </c>
      <c r="H100" s="24">
        <f t="shared" si="6"/>
        <v>0</v>
      </c>
      <c r="I100" s="8" t="s">
        <v>141</v>
      </c>
      <c r="J100" s="8" t="s">
        <v>270</v>
      </c>
      <c r="K100" s="24">
        <f t="shared" si="7"/>
        <v>1</v>
      </c>
      <c r="L100" s="24">
        <f t="shared" si="7"/>
        <v>1</v>
      </c>
    </row>
    <row r="101" spans="1:12" x14ac:dyDescent="0.45">
      <c r="A101" s="8"/>
      <c r="B101" s="8"/>
      <c r="C101" s="24">
        <f t="shared" si="4"/>
        <v>0</v>
      </c>
      <c r="D101" s="24">
        <f t="shared" si="4"/>
        <v>0</v>
      </c>
      <c r="E101" s="8"/>
      <c r="F101" s="8"/>
      <c r="G101" s="24">
        <f t="shared" si="5"/>
        <v>0</v>
      </c>
      <c r="H101" s="24">
        <f t="shared" si="6"/>
        <v>0</v>
      </c>
      <c r="I101" s="8" t="s">
        <v>142</v>
      </c>
      <c r="J101" s="8" t="s">
        <v>245</v>
      </c>
      <c r="K101" s="24">
        <f t="shared" si="7"/>
        <v>1</v>
      </c>
      <c r="L101" s="24">
        <f t="shared" si="7"/>
        <v>2</v>
      </c>
    </row>
    <row r="102" spans="1:12" x14ac:dyDescent="0.45">
      <c r="A102" s="8"/>
      <c r="B102" s="8"/>
      <c r="C102" s="24">
        <f t="shared" si="4"/>
        <v>0</v>
      </c>
      <c r="D102" s="24">
        <f t="shared" si="4"/>
        <v>0</v>
      </c>
      <c r="E102" s="8"/>
      <c r="F102" s="8"/>
      <c r="G102" s="24">
        <f t="shared" si="5"/>
        <v>0</v>
      </c>
      <c r="H102" s="24">
        <f t="shared" si="6"/>
        <v>0</v>
      </c>
      <c r="I102" s="8" t="s">
        <v>143</v>
      </c>
      <c r="J102" s="8" t="s">
        <v>271</v>
      </c>
      <c r="K102" s="24">
        <f t="shared" si="7"/>
        <v>1</v>
      </c>
      <c r="L102" s="24">
        <f t="shared" si="7"/>
        <v>1</v>
      </c>
    </row>
    <row r="103" spans="1:12" x14ac:dyDescent="0.45">
      <c r="A103" s="8"/>
      <c r="B103" s="8"/>
      <c r="C103" s="24">
        <f t="shared" si="4"/>
        <v>0</v>
      </c>
      <c r="D103" s="24">
        <f t="shared" si="4"/>
        <v>0</v>
      </c>
      <c r="E103" s="8"/>
      <c r="F103" s="8"/>
      <c r="G103" s="24">
        <f t="shared" si="5"/>
        <v>0</v>
      </c>
      <c r="H103" s="24">
        <f t="shared" si="6"/>
        <v>0</v>
      </c>
      <c r="I103" s="8" t="s">
        <v>144</v>
      </c>
      <c r="J103" s="8" t="s">
        <v>206</v>
      </c>
      <c r="K103" s="24">
        <f t="shared" si="7"/>
        <v>1</v>
      </c>
      <c r="L103" s="24">
        <f t="shared" si="7"/>
        <v>3</v>
      </c>
    </row>
    <row r="104" spans="1:12" x14ac:dyDescent="0.45">
      <c r="A104" s="8"/>
      <c r="B104" s="8"/>
      <c r="C104" s="24">
        <f t="shared" si="4"/>
        <v>0</v>
      </c>
      <c r="D104" s="24">
        <f t="shared" si="4"/>
        <v>0</v>
      </c>
      <c r="E104" s="8"/>
      <c r="F104" s="8"/>
      <c r="G104" s="24">
        <f t="shared" si="5"/>
        <v>0</v>
      </c>
      <c r="H104" s="24">
        <f t="shared" si="6"/>
        <v>0</v>
      </c>
      <c r="I104" s="8" t="s">
        <v>145</v>
      </c>
      <c r="J104" s="8" t="s">
        <v>272</v>
      </c>
      <c r="K104" s="24">
        <f t="shared" si="7"/>
        <v>1</v>
      </c>
      <c r="L104" s="24">
        <f t="shared" si="7"/>
        <v>1</v>
      </c>
    </row>
    <row r="105" spans="1:12" x14ac:dyDescent="0.45">
      <c r="A105" s="8"/>
      <c r="B105" s="8"/>
      <c r="C105" s="24">
        <f t="shared" si="4"/>
        <v>0</v>
      </c>
      <c r="D105" s="24">
        <f t="shared" si="4"/>
        <v>0</v>
      </c>
      <c r="E105" s="8"/>
      <c r="F105" s="8"/>
      <c r="G105" s="24">
        <f t="shared" si="5"/>
        <v>0</v>
      </c>
      <c r="H105" s="24">
        <f t="shared" si="6"/>
        <v>0</v>
      </c>
      <c r="I105" s="8" t="s">
        <v>146</v>
      </c>
      <c r="J105" s="8" t="s">
        <v>273</v>
      </c>
      <c r="K105" s="24">
        <f t="shared" si="7"/>
        <v>1</v>
      </c>
      <c r="L105" s="24">
        <f t="shared" si="7"/>
        <v>1</v>
      </c>
    </row>
    <row r="106" spans="1:12" x14ac:dyDescent="0.45">
      <c r="A106" s="8"/>
      <c r="B106" s="8"/>
      <c r="C106" s="24">
        <f t="shared" si="4"/>
        <v>0</v>
      </c>
      <c r="D106" s="24">
        <f t="shared" si="4"/>
        <v>0</v>
      </c>
      <c r="E106" s="8"/>
      <c r="F106" s="8"/>
      <c r="G106" s="24">
        <f t="shared" si="5"/>
        <v>0</v>
      </c>
      <c r="H106" s="24">
        <f t="shared" si="6"/>
        <v>0</v>
      </c>
      <c r="I106" s="8" t="s">
        <v>147</v>
      </c>
      <c r="J106" s="8" t="s">
        <v>274</v>
      </c>
      <c r="K106" s="24">
        <f t="shared" si="7"/>
        <v>1</v>
      </c>
      <c r="L106" s="24">
        <f t="shared" si="7"/>
        <v>1</v>
      </c>
    </row>
    <row r="107" spans="1:12" x14ac:dyDescent="0.45">
      <c r="A107" s="8"/>
      <c r="B107" s="8"/>
      <c r="C107" s="24">
        <f t="shared" si="4"/>
        <v>0</v>
      </c>
      <c r="D107" s="24">
        <f t="shared" si="4"/>
        <v>0</v>
      </c>
      <c r="E107" s="8"/>
      <c r="F107" s="8"/>
      <c r="G107" s="24">
        <f t="shared" si="5"/>
        <v>0</v>
      </c>
      <c r="H107" s="24">
        <f t="shared" si="6"/>
        <v>0</v>
      </c>
      <c r="I107" s="8" t="s">
        <v>149</v>
      </c>
      <c r="J107" s="8" t="s">
        <v>220</v>
      </c>
      <c r="K107" s="24">
        <f t="shared" si="7"/>
        <v>1</v>
      </c>
      <c r="L107" s="24">
        <f t="shared" si="7"/>
        <v>2</v>
      </c>
    </row>
    <row r="108" spans="1:12" x14ac:dyDescent="0.45">
      <c r="A108" s="8"/>
      <c r="B108" s="8"/>
      <c r="C108" s="24">
        <f t="shared" si="4"/>
        <v>0</v>
      </c>
      <c r="D108" s="24">
        <f t="shared" si="4"/>
        <v>0</v>
      </c>
      <c r="E108" s="8"/>
      <c r="F108" s="8"/>
      <c r="G108" s="24">
        <f t="shared" si="5"/>
        <v>0</v>
      </c>
      <c r="H108" s="24">
        <f t="shared" si="6"/>
        <v>0</v>
      </c>
      <c r="I108" s="8" t="s">
        <v>150</v>
      </c>
      <c r="J108" s="8" t="s">
        <v>275</v>
      </c>
      <c r="K108" s="24">
        <f t="shared" si="7"/>
        <v>1</v>
      </c>
      <c r="L108" s="24">
        <f t="shared" si="7"/>
        <v>1</v>
      </c>
    </row>
    <row r="109" spans="1:12" x14ac:dyDescent="0.45">
      <c r="A109" s="8"/>
      <c r="B109" s="8"/>
      <c r="C109" s="24">
        <f t="shared" si="4"/>
        <v>0</v>
      </c>
      <c r="D109" s="24">
        <f t="shared" si="4"/>
        <v>0</v>
      </c>
      <c r="E109" s="8"/>
      <c r="F109" s="8"/>
      <c r="G109" s="24">
        <f t="shared" si="5"/>
        <v>0</v>
      </c>
      <c r="H109" s="24">
        <f t="shared" si="6"/>
        <v>0</v>
      </c>
      <c r="I109" s="8" t="s">
        <v>151</v>
      </c>
      <c r="J109" s="8" t="s">
        <v>276</v>
      </c>
      <c r="K109" s="24">
        <f t="shared" si="7"/>
        <v>1</v>
      </c>
      <c r="L109" s="24">
        <f t="shared" si="7"/>
        <v>1</v>
      </c>
    </row>
    <row r="110" spans="1:12" x14ac:dyDescent="0.45">
      <c r="A110" s="8"/>
      <c r="B110" s="8"/>
      <c r="C110" s="24">
        <f t="shared" si="4"/>
        <v>0</v>
      </c>
      <c r="D110" s="24">
        <f t="shared" si="4"/>
        <v>0</v>
      </c>
      <c r="E110" s="8"/>
      <c r="F110" s="8"/>
      <c r="G110" s="24">
        <f t="shared" si="5"/>
        <v>0</v>
      </c>
      <c r="H110" s="24">
        <f t="shared" si="6"/>
        <v>0</v>
      </c>
      <c r="I110" s="8" t="s">
        <v>152</v>
      </c>
      <c r="J110" s="8" t="s">
        <v>277</v>
      </c>
      <c r="K110" s="24">
        <f t="shared" si="7"/>
        <v>1</v>
      </c>
      <c r="L110" s="24">
        <f t="shared" si="7"/>
        <v>1</v>
      </c>
    </row>
    <row r="111" spans="1:12" x14ac:dyDescent="0.45">
      <c r="A111" s="8"/>
      <c r="B111" s="8"/>
      <c r="C111" s="24">
        <f t="shared" si="4"/>
        <v>0</v>
      </c>
      <c r="D111" s="24">
        <f t="shared" si="4"/>
        <v>0</v>
      </c>
      <c r="E111" s="8"/>
      <c r="F111" s="8"/>
      <c r="G111" s="24">
        <f t="shared" si="5"/>
        <v>0</v>
      </c>
      <c r="H111" s="24">
        <f t="shared" si="6"/>
        <v>0</v>
      </c>
      <c r="I111" s="8" t="s">
        <v>154</v>
      </c>
      <c r="J111" s="8" t="s">
        <v>278</v>
      </c>
      <c r="K111" s="24">
        <f t="shared" si="7"/>
        <v>1</v>
      </c>
      <c r="L111" s="24">
        <f t="shared" si="7"/>
        <v>1</v>
      </c>
    </row>
    <row r="112" spans="1:12" x14ac:dyDescent="0.45">
      <c r="A112" s="8"/>
      <c r="B112" s="8"/>
      <c r="C112" s="24">
        <f t="shared" si="4"/>
        <v>0</v>
      </c>
      <c r="D112" s="24">
        <f t="shared" si="4"/>
        <v>0</v>
      </c>
      <c r="E112" s="8"/>
      <c r="F112" s="8"/>
      <c r="G112" s="24">
        <f t="shared" si="5"/>
        <v>0</v>
      </c>
      <c r="H112" s="24">
        <f t="shared" si="6"/>
        <v>0</v>
      </c>
      <c r="I112" s="8" t="s">
        <v>156</v>
      </c>
      <c r="J112" s="8" t="s">
        <v>214</v>
      </c>
      <c r="K112" s="24">
        <f t="shared" si="7"/>
        <v>1</v>
      </c>
      <c r="L112" s="24">
        <f t="shared" si="7"/>
        <v>2</v>
      </c>
    </row>
    <row r="113" spans="1:12" x14ac:dyDescent="0.45">
      <c r="A113" s="8"/>
      <c r="B113" s="8"/>
      <c r="C113" s="24">
        <f t="shared" si="4"/>
        <v>0</v>
      </c>
      <c r="D113" s="24">
        <f t="shared" si="4"/>
        <v>0</v>
      </c>
      <c r="E113" s="8"/>
      <c r="F113" s="8"/>
      <c r="G113" s="24">
        <f t="shared" si="5"/>
        <v>0</v>
      </c>
      <c r="H113" s="24">
        <f t="shared" si="6"/>
        <v>0</v>
      </c>
      <c r="I113" s="8" t="s">
        <v>157</v>
      </c>
      <c r="J113" s="8" t="s">
        <v>279</v>
      </c>
      <c r="K113" s="24">
        <f t="shared" si="7"/>
        <v>1</v>
      </c>
      <c r="L113" s="24">
        <f t="shared" si="7"/>
        <v>2</v>
      </c>
    </row>
    <row r="114" spans="1:12" x14ac:dyDescent="0.45">
      <c r="A114" s="8"/>
      <c r="B114" s="8"/>
      <c r="C114" s="24">
        <f t="shared" si="4"/>
        <v>0</v>
      </c>
      <c r="D114" s="24">
        <f t="shared" si="4"/>
        <v>0</v>
      </c>
      <c r="E114" s="8"/>
      <c r="F114" s="8"/>
      <c r="G114" s="24">
        <f t="shared" si="5"/>
        <v>0</v>
      </c>
      <c r="H114" s="24">
        <f t="shared" si="6"/>
        <v>0</v>
      </c>
      <c r="I114" s="8" t="s">
        <v>158</v>
      </c>
      <c r="J114" s="8" t="s">
        <v>280</v>
      </c>
      <c r="K114" s="24">
        <f t="shared" si="7"/>
        <v>1</v>
      </c>
      <c r="L114" s="24">
        <f t="shared" si="7"/>
        <v>1</v>
      </c>
    </row>
    <row r="115" spans="1:12" x14ac:dyDescent="0.45">
      <c r="A115" s="8"/>
      <c r="B115" s="8"/>
      <c r="C115" s="24">
        <f t="shared" si="4"/>
        <v>0</v>
      </c>
      <c r="D115" s="24">
        <f t="shared" si="4"/>
        <v>0</v>
      </c>
      <c r="E115" s="8"/>
      <c r="F115" s="8"/>
      <c r="G115" s="24">
        <f t="shared" si="5"/>
        <v>0</v>
      </c>
      <c r="H115" s="24">
        <f t="shared" si="6"/>
        <v>0</v>
      </c>
      <c r="I115" s="8" t="s">
        <v>159</v>
      </c>
      <c r="J115" s="8" t="s">
        <v>281</v>
      </c>
      <c r="K115" s="24">
        <f t="shared" si="7"/>
        <v>1</v>
      </c>
      <c r="L115" s="24">
        <f t="shared" si="7"/>
        <v>1</v>
      </c>
    </row>
    <row r="116" spans="1:12" x14ac:dyDescent="0.45">
      <c r="A116" s="8"/>
      <c r="B116" s="8"/>
      <c r="C116" s="24">
        <f t="shared" si="4"/>
        <v>0</v>
      </c>
      <c r="D116" s="24">
        <f t="shared" si="4"/>
        <v>0</v>
      </c>
      <c r="E116" s="8"/>
      <c r="F116" s="8"/>
      <c r="G116" s="24">
        <f t="shared" si="5"/>
        <v>0</v>
      </c>
      <c r="H116" s="24">
        <f t="shared" si="6"/>
        <v>0</v>
      </c>
      <c r="I116" s="8" t="s">
        <v>161</v>
      </c>
      <c r="J116" s="8" t="s">
        <v>258</v>
      </c>
      <c r="K116" s="24">
        <f t="shared" si="7"/>
        <v>1</v>
      </c>
      <c r="L116" s="24">
        <f t="shared" si="7"/>
        <v>2</v>
      </c>
    </row>
    <row r="117" spans="1:12" x14ac:dyDescent="0.45">
      <c r="A117" s="8"/>
      <c r="B117" s="8"/>
      <c r="C117" s="24">
        <f t="shared" si="4"/>
        <v>0</v>
      </c>
      <c r="D117" s="24">
        <f t="shared" si="4"/>
        <v>0</v>
      </c>
      <c r="E117" s="8"/>
      <c r="F117" s="8"/>
      <c r="G117" s="24">
        <f t="shared" si="5"/>
        <v>0</v>
      </c>
      <c r="H117" s="24">
        <f t="shared" si="6"/>
        <v>0</v>
      </c>
      <c r="I117" s="8" t="s">
        <v>162</v>
      </c>
      <c r="J117" s="8" t="s">
        <v>264</v>
      </c>
      <c r="K117" s="24">
        <f t="shared" si="7"/>
        <v>1</v>
      </c>
      <c r="L117" s="24">
        <f t="shared" si="7"/>
        <v>2</v>
      </c>
    </row>
    <row r="118" spans="1:12" x14ac:dyDescent="0.45">
      <c r="A118" s="8"/>
      <c r="B118" s="8"/>
      <c r="C118" s="24">
        <f t="shared" si="4"/>
        <v>0</v>
      </c>
      <c r="D118" s="24">
        <f t="shared" si="4"/>
        <v>0</v>
      </c>
      <c r="E118" s="8"/>
      <c r="F118" s="8"/>
      <c r="G118" s="24">
        <f t="shared" si="5"/>
        <v>0</v>
      </c>
      <c r="H118" s="24">
        <f t="shared" si="6"/>
        <v>0</v>
      </c>
      <c r="I118" s="8" t="s">
        <v>163</v>
      </c>
      <c r="J118" s="8" t="s">
        <v>200</v>
      </c>
      <c r="K118" s="24">
        <f t="shared" si="7"/>
        <v>1</v>
      </c>
      <c r="L118" s="24">
        <f t="shared" si="7"/>
        <v>2</v>
      </c>
    </row>
    <row r="119" spans="1:12" x14ac:dyDescent="0.45">
      <c r="A119" s="8"/>
      <c r="B119" s="8"/>
      <c r="C119" s="24">
        <f t="shared" si="4"/>
        <v>0</v>
      </c>
      <c r="D119" s="24">
        <f t="shared" si="4"/>
        <v>0</v>
      </c>
      <c r="E119" s="8"/>
      <c r="F119" s="8"/>
      <c r="G119" s="24">
        <f t="shared" si="5"/>
        <v>0</v>
      </c>
      <c r="H119" s="24">
        <f t="shared" si="6"/>
        <v>0</v>
      </c>
      <c r="I119" s="8" t="s">
        <v>164</v>
      </c>
      <c r="J119" s="8" t="s">
        <v>246</v>
      </c>
      <c r="K119" s="24">
        <f t="shared" si="7"/>
        <v>1</v>
      </c>
      <c r="L119" s="24">
        <f t="shared" si="7"/>
        <v>4</v>
      </c>
    </row>
    <row r="120" spans="1:12" x14ac:dyDescent="0.45">
      <c r="A120" s="8"/>
      <c r="B120" s="8"/>
      <c r="C120" s="24">
        <f t="shared" si="4"/>
        <v>0</v>
      </c>
      <c r="D120" s="24">
        <f t="shared" si="4"/>
        <v>0</v>
      </c>
      <c r="E120" s="8"/>
      <c r="F120" s="8"/>
      <c r="G120" s="24">
        <f t="shared" si="5"/>
        <v>0</v>
      </c>
      <c r="H120" s="24">
        <f t="shared" si="6"/>
        <v>0</v>
      </c>
      <c r="I120" s="8" t="s">
        <v>165</v>
      </c>
      <c r="J120" s="8" t="s">
        <v>203</v>
      </c>
      <c r="K120" s="24">
        <f t="shared" si="7"/>
        <v>1</v>
      </c>
      <c r="L120" s="24">
        <f t="shared" si="7"/>
        <v>2</v>
      </c>
    </row>
    <row r="121" spans="1:12" x14ac:dyDescent="0.45">
      <c r="A121" s="8"/>
      <c r="B121" s="8"/>
      <c r="C121" s="24">
        <f t="shared" si="4"/>
        <v>0</v>
      </c>
      <c r="D121" s="24">
        <f t="shared" si="4"/>
        <v>0</v>
      </c>
      <c r="E121" s="8"/>
      <c r="F121" s="8"/>
      <c r="G121" s="24">
        <f t="shared" si="5"/>
        <v>0</v>
      </c>
      <c r="H121" s="24">
        <f t="shared" si="6"/>
        <v>0</v>
      </c>
      <c r="I121" s="8" t="s">
        <v>166</v>
      </c>
      <c r="J121" s="8" t="s">
        <v>282</v>
      </c>
      <c r="K121" s="24">
        <f t="shared" si="7"/>
        <v>1</v>
      </c>
      <c r="L121" s="24">
        <f t="shared" si="7"/>
        <v>1</v>
      </c>
    </row>
    <row r="122" spans="1:12" x14ac:dyDescent="0.45">
      <c r="A122" s="8"/>
      <c r="B122" s="8"/>
      <c r="C122" s="24">
        <f t="shared" si="4"/>
        <v>0</v>
      </c>
      <c r="D122" s="24">
        <f t="shared" si="4"/>
        <v>0</v>
      </c>
      <c r="E122" s="8"/>
      <c r="F122" s="8"/>
      <c r="G122" s="24">
        <f t="shared" si="5"/>
        <v>0</v>
      </c>
      <c r="H122" s="24">
        <f t="shared" si="6"/>
        <v>0</v>
      </c>
      <c r="I122" s="8" t="s">
        <v>167</v>
      </c>
      <c r="J122" s="8" t="s">
        <v>283</v>
      </c>
      <c r="K122" s="24">
        <f t="shared" si="7"/>
        <v>1</v>
      </c>
      <c r="L122" s="24">
        <f t="shared" si="7"/>
        <v>1</v>
      </c>
    </row>
    <row r="123" spans="1:12" x14ac:dyDescent="0.45">
      <c r="A123" s="8"/>
      <c r="B123" s="8"/>
      <c r="C123" s="24">
        <f t="shared" si="4"/>
        <v>0</v>
      </c>
      <c r="D123" s="24">
        <f t="shared" si="4"/>
        <v>0</v>
      </c>
      <c r="E123" s="8"/>
      <c r="F123" s="8"/>
      <c r="G123" s="24">
        <f t="shared" si="5"/>
        <v>0</v>
      </c>
      <c r="H123" s="24">
        <f t="shared" si="6"/>
        <v>0</v>
      </c>
      <c r="I123" s="8" t="s">
        <v>170</v>
      </c>
      <c r="J123" s="8" t="s">
        <v>284</v>
      </c>
      <c r="K123" s="24">
        <f t="shared" si="7"/>
        <v>1</v>
      </c>
      <c r="L123" s="24">
        <f t="shared" si="7"/>
        <v>2</v>
      </c>
    </row>
    <row r="124" spans="1:12" x14ac:dyDescent="0.45">
      <c r="A124" s="8"/>
      <c r="B124" s="8"/>
      <c r="C124" s="24">
        <f t="shared" si="4"/>
        <v>0</v>
      </c>
      <c r="D124" s="24">
        <f t="shared" si="4"/>
        <v>0</v>
      </c>
      <c r="E124" s="8"/>
      <c r="F124" s="8"/>
      <c r="G124" s="24">
        <f t="shared" si="5"/>
        <v>0</v>
      </c>
      <c r="H124" s="24">
        <f t="shared" si="6"/>
        <v>0</v>
      </c>
      <c r="I124" s="8" t="s">
        <v>171</v>
      </c>
      <c r="J124" s="8" t="s">
        <v>255</v>
      </c>
      <c r="K124" s="24">
        <f t="shared" si="7"/>
        <v>1</v>
      </c>
      <c r="L124" s="24">
        <f t="shared" si="7"/>
        <v>2</v>
      </c>
    </row>
    <row r="125" spans="1:12" x14ac:dyDescent="0.45">
      <c r="A125" s="8"/>
      <c r="B125" s="8"/>
      <c r="C125" s="24">
        <f t="shared" si="4"/>
        <v>0</v>
      </c>
      <c r="D125" s="24">
        <f t="shared" si="4"/>
        <v>0</v>
      </c>
      <c r="E125" s="8"/>
      <c r="F125" s="8"/>
      <c r="G125" s="24">
        <f t="shared" si="5"/>
        <v>0</v>
      </c>
      <c r="H125" s="24">
        <f t="shared" si="6"/>
        <v>0</v>
      </c>
      <c r="I125" s="8" t="s">
        <v>173</v>
      </c>
      <c r="J125" s="8" t="s">
        <v>285</v>
      </c>
      <c r="K125" s="24">
        <f t="shared" si="7"/>
        <v>1</v>
      </c>
      <c r="L125" s="24">
        <f t="shared" si="7"/>
        <v>1</v>
      </c>
    </row>
    <row r="126" spans="1:12" x14ac:dyDescent="0.45">
      <c r="A126" s="8"/>
      <c r="B126" s="8"/>
      <c r="C126" s="24">
        <f t="shared" si="4"/>
        <v>0</v>
      </c>
      <c r="D126" s="24">
        <f t="shared" si="4"/>
        <v>0</v>
      </c>
      <c r="E126" s="8"/>
      <c r="F126" s="8"/>
      <c r="G126" s="24">
        <f t="shared" si="5"/>
        <v>0</v>
      </c>
      <c r="H126" s="24">
        <f t="shared" si="6"/>
        <v>0</v>
      </c>
      <c r="I126" s="8" t="s">
        <v>174</v>
      </c>
      <c r="J126" s="8" t="s">
        <v>286</v>
      </c>
      <c r="K126" s="24">
        <f t="shared" si="7"/>
        <v>1</v>
      </c>
      <c r="L126" s="24">
        <f t="shared" si="7"/>
        <v>1</v>
      </c>
    </row>
    <row r="127" spans="1:12" x14ac:dyDescent="0.45">
      <c r="A127" s="8"/>
      <c r="B127" s="8"/>
      <c r="C127" s="24">
        <f t="shared" si="4"/>
        <v>0</v>
      </c>
      <c r="D127" s="24">
        <f t="shared" si="4"/>
        <v>0</v>
      </c>
      <c r="E127" s="8"/>
      <c r="F127" s="8"/>
      <c r="G127" s="24">
        <f t="shared" si="5"/>
        <v>0</v>
      </c>
      <c r="H127" s="24">
        <f t="shared" si="6"/>
        <v>0</v>
      </c>
      <c r="I127" s="8" t="s">
        <v>305</v>
      </c>
      <c r="J127" s="8" t="s">
        <v>287</v>
      </c>
      <c r="K127" s="24">
        <f t="shared" si="7"/>
        <v>1</v>
      </c>
      <c r="L127" s="24">
        <f t="shared" si="7"/>
        <v>1</v>
      </c>
    </row>
    <row r="128" spans="1:12" x14ac:dyDescent="0.45">
      <c r="A128" s="8"/>
      <c r="B128" s="8"/>
      <c r="C128" s="24">
        <f t="shared" si="4"/>
        <v>0</v>
      </c>
      <c r="D128" s="24">
        <f t="shared" si="4"/>
        <v>0</v>
      </c>
      <c r="E128" s="8"/>
      <c r="F128" s="8"/>
      <c r="G128" s="24">
        <f t="shared" si="5"/>
        <v>0</v>
      </c>
      <c r="H128" s="24">
        <f t="shared" si="6"/>
        <v>0</v>
      </c>
      <c r="I128" s="8" t="s">
        <v>176</v>
      </c>
      <c r="J128" s="8" t="s">
        <v>288</v>
      </c>
      <c r="K128" s="24">
        <f t="shared" si="7"/>
        <v>1</v>
      </c>
      <c r="L128" s="24">
        <f t="shared" si="7"/>
        <v>1</v>
      </c>
    </row>
    <row r="129" spans="1:12" x14ac:dyDescent="0.45">
      <c r="A129" s="8"/>
      <c r="B129" s="8"/>
      <c r="C129" s="24">
        <f t="shared" si="4"/>
        <v>0</v>
      </c>
      <c r="D129" s="24">
        <f t="shared" si="4"/>
        <v>0</v>
      </c>
      <c r="E129" s="8"/>
      <c r="F129" s="8"/>
      <c r="G129" s="24">
        <f t="shared" si="5"/>
        <v>0</v>
      </c>
      <c r="H129" s="24">
        <f t="shared" si="6"/>
        <v>0</v>
      </c>
      <c r="I129" s="8" t="s">
        <v>177</v>
      </c>
      <c r="J129" s="8" t="s">
        <v>289</v>
      </c>
      <c r="K129" s="24">
        <f t="shared" si="7"/>
        <v>1</v>
      </c>
      <c r="L129" s="24">
        <f t="shared" si="7"/>
        <v>1</v>
      </c>
    </row>
    <row r="130" spans="1:12" x14ac:dyDescent="0.45">
      <c r="A130" s="8"/>
      <c r="B130" s="8"/>
      <c r="C130" s="24">
        <f t="shared" si="4"/>
        <v>0</v>
      </c>
      <c r="D130" s="24">
        <f t="shared" si="4"/>
        <v>0</v>
      </c>
      <c r="E130" s="8"/>
      <c r="F130" s="8"/>
      <c r="G130" s="24">
        <f t="shared" si="5"/>
        <v>0</v>
      </c>
      <c r="H130" s="24">
        <f t="shared" si="6"/>
        <v>0</v>
      </c>
      <c r="I130" s="8" t="s">
        <v>179</v>
      </c>
      <c r="J130" s="8" t="s">
        <v>290</v>
      </c>
      <c r="K130" s="24">
        <f t="shared" si="7"/>
        <v>1</v>
      </c>
      <c r="L130" s="24">
        <f t="shared" si="7"/>
        <v>1</v>
      </c>
    </row>
    <row r="131" spans="1:12" x14ac:dyDescent="0.45">
      <c r="A131" s="8"/>
      <c r="B131" s="8"/>
      <c r="C131" s="24">
        <f t="shared" ref="C131:D194" si="8">COUNTIF(A$2:A$294,A131)</f>
        <v>0</v>
      </c>
      <c r="D131" s="24">
        <f t="shared" si="8"/>
        <v>0</v>
      </c>
      <c r="E131" s="8"/>
      <c r="F131" s="8"/>
      <c r="G131" s="24">
        <f t="shared" ref="G131:G194" si="9">COUNTIF(E$2:E$294,E131)</f>
        <v>0</v>
      </c>
      <c r="H131" s="24">
        <f t="shared" ref="H131:H194" si="10">COUNTIF($F$2:$F$294,F131)</f>
        <v>0</v>
      </c>
      <c r="I131" s="8" t="s">
        <v>180</v>
      </c>
      <c r="J131" s="8" t="s">
        <v>256</v>
      </c>
      <c r="K131" s="24">
        <f t="shared" ref="K131:L194" si="11">COUNTIF(I$2:I$294,I131)</f>
        <v>1</v>
      </c>
      <c r="L131" s="24">
        <f t="shared" si="11"/>
        <v>2</v>
      </c>
    </row>
    <row r="132" spans="1:12" x14ac:dyDescent="0.45">
      <c r="A132" s="8"/>
      <c r="B132" s="8"/>
      <c r="C132" s="24">
        <f t="shared" si="8"/>
        <v>0</v>
      </c>
      <c r="D132" s="24">
        <f t="shared" si="8"/>
        <v>0</v>
      </c>
      <c r="E132" s="8"/>
      <c r="F132" s="8"/>
      <c r="G132" s="24">
        <f t="shared" si="9"/>
        <v>0</v>
      </c>
      <c r="H132" s="24">
        <f t="shared" si="10"/>
        <v>0</v>
      </c>
      <c r="I132" s="8" t="s">
        <v>181</v>
      </c>
      <c r="J132" s="8" t="s">
        <v>291</v>
      </c>
      <c r="K132" s="24">
        <f t="shared" si="11"/>
        <v>1</v>
      </c>
      <c r="L132" s="24">
        <f t="shared" si="11"/>
        <v>1</v>
      </c>
    </row>
    <row r="133" spans="1:12" x14ac:dyDescent="0.45">
      <c r="A133" s="8"/>
      <c r="B133" s="8"/>
      <c r="C133" s="24">
        <f t="shared" si="8"/>
        <v>0</v>
      </c>
      <c r="D133" s="24">
        <f t="shared" si="8"/>
        <v>0</v>
      </c>
      <c r="E133" s="8"/>
      <c r="F133" s="8"/>
      <c r="G133" s="24">
        <f t="shared" si="9"/>
        <v>0</v>
      </c>
      <c r="H133" s="24">
        <f t="shared" si="10"/>
        <v>0</v>
      </c>
      <c r="I133" s="8" t="s">
        <v>322</v>
      </c>
      <c r="J133" s="8" t="s">
        <v>330</v>
      </c>
      <c r="K133" s="24">
        <f>COUNTIF(I$2:I$294,I133)</f>
        <v>1</v>
      </c>
      <c r="L133" s="24">
        <f>COUNTIF(J$2:J$294,J133)</f>
        <v>1</v>
      </c>
    </row>
    <row r="134" spans="1:12" x14ac:dyDescent="0.45">
      <c r="A134" s="8"/>
      <c r="B134" s="8"/>
      <c r="C134" s="24">
        <f t="shared" si="8"/>
        <v>0</v>
      </c>
      <c r="D134" s="24">
        <f t="shared" si="8"/>
        <v>0</v>
      </c>
      <c r="E134" s="8"/>
      <c r="F134" s="8"/>
      <c r="G134" s="24">
        <f t="shared" si="9"/>
        <v>0</v>
      </c>
      <c r="H134" s="24">
        <f t="shared" si="10"/>
        <v>0</v>
      </c>
      <c r="I134" s="8" t="s">
        <v>323</v>
      </c>
      <c r="J134" s="8" t="s">
        <v>331</v>
      </c>
      <c r="K134" s="24">
        <f>COUNTIF(I$2:I$294,I134)</f>
        <v>1</v>
      </c>
      <c r="L134" s="24">
        <f>COUNTIF(J$2:J$294,J134)</f>
        <v>2</v>
      </c>
    </row>
    <row r="135" spans="1:12" x14ac:dyDescent="0.45">
      <c r="A135" s="8"/>
      <c r="B135" s="8"/>
      <c r="C135" s="24">
        <f t="shared" si="8"/>
        <v>0</v>
      </c>
      <c r="D135" s="24">
        <f t="shared" si="8"/>
        <v>0</v>
      </c>
      <c r="E135" s="8"/>
      <c r="F135" s="8"/>
      <c r="G135" s="24">
        <f t="shared" si="9"/>
        <v>0</v>
      </c>
      <c r="H135" s="24">
        <f t="shared" si="10"/>
        <v>0</v>
      </c>
      <c r="I135" s="8" t="s">
        <v>324</v>
      </c>
      <c r="J135" s="8" t="s">
        <v>332</v>
      </c>
      <c r="K135" s="24">
        <f>COUNTIF(I$2:I$294,I135)</f>
        <v>1</v>
      </c>
      <c r="L135" s="24">
        <f>COUNTIF(J$2:J$294,J135)</f>
        <v>2</v>
      </c>
    </row>
    <row r="136" spans="1:12" x14ac:dyDescent="0.45">
      <c r="A136" s="8"/>
      <c r="B136" s="8"/>
      <c r="C136" s="24">
        <f t="shared" si="8"/>
        <v>0</v>
      </c>
      <c r="D136" s="24">
        <f t="shared" si="8"/>
        <v>0</v>
      </c>
      <c r="E136" s="8"/>
      <c r="F136" s="8"/>
      <c r="G136" s="24">
        <f t="shared" si="9"/>
        <v>0</v>
      </c>
      <c r="H136" s="24">
        <f t="shared" si="10"/>
        <v>0</v>
      </c>
      <c r="I136" s="8" t="s">
        <v>319</v>
      </c>
      <c r="J136" s="8" t="s">
        <v>334</v>
      </c>
      <c r="K136" s="24">
        <f>COUNTIF(I$2:I$294,I136)</f>
        <v>1</v>
      </c>
      <c r="L136" s="24">
        <f>COUNTIF(J$2:J$294,J136)</f>
        <v>1</v>
      </c>
    </row>
    <row r="137" spans="1:12" x14ac:dyDescent="0.45">
      <c r="A137" s="8"/>
      <c r="B137" s="8"/>
      <c r="C137" s="24">
        <f t="shared" si="8"/>
        <v>0</v>
      </c>
      <c r="D137" s="24">
        <f t="shared" si="8"/>
        <v>0</v>
      </c>
      <c r="E137" s="8"/>
      <c r="F137" s="8"/>
      <c r="G137" s="24">
        <f t="shared" si="9"/>
        <v>0</v>
      </c>
      <c r="H137" s="24">
        <f t="shared" si="10"/>
        <v>0</v>
      </c>
      <c r="I137" s="8" t="s">
        <v>320</v>
      </c>
      <c r="J137" s="8" t="s">
        <v>335</v>
      </c>
      <c r="K137" s="24">
        <f>COUNTIF(I$2:I$294,I137)</f>
        <v>1</v>
      </c>
      <c r="L137" s="24">
        <f>COUNTIF(J$2:J$294,J137)</f>
        <v>1</v>
      </c>
    </row>
    <row r="138" spans="1:12" x14ac:dyDescent="0.45">
      <c r="A138" s="8"/>
      <c r="B138" s="8"/>
      <c r="C138" s="24">
        <f t="shared" si="8"/>
        <v>0</v>
      </c>
      <c r="D138" s="24">
        <f t="shared" si="8"/>
        <v>0</v>
      </c>
      <c r="E138" s="8"/>
      <c r="F138" s="8"/>
      <c r="G138" s="24">
        <f t="shared" si="9"/>
        <v>0</v>
      </c>
      <c r="H138" s="24">
        <f t="shared" si="10"/>
        <v>0</v>
      </c>
      <c r="I138" s="8" t="s">
        <v>321</v>
      </c>
      <c r="J138" s="8" t="s">
        <v>336</v>
      </c>
      <c r="K138" s="24">
        <f>COUNTIF(I$2:I$294,I138)</f>
        <v>1</v>
      </c>
      <c r="L138" s="24">
        <f>COUNTIF(J$2:J$294,J138)</f>
        <v>2</v>
      </c>
    </row>
    <row r="139" spans="1:12" x14ac:dyDescent="0.45">
      <c r="A139" s="8"/>
      <c r="B139" s="8"/>
      <c r="C139" s="24">
        <f t="shared" si="8"/>
        <v>0</v>
      </c>
      <c r="D139" s="24">
        <f t="shared" si="8"/>
        <v>0</v>
      </c>
      <c r="E139" s="8"/>
      <c r="F139" s="8"/>
      <c r="G139" s="24">
        <f t="shared" si="9"/>
        <v>0</v>
      </c>
      <c r="H139" s="24">
        <f t="shared" si="10"/>
        <v>0</v>
      </c>
      <c r="I139" s="8"/>
      <c r="J139" s="8"/>
      <c r="K139" s="24">
        <f>COUNTIF(I$2:I$294,I139)</f>
        <v>0</v>
      </c>
      <c r="L139" s="24">
        <f>COUNTIF(J$2:J$294,J139)</f>
        <v>0</v>
      </c>
    </row>
    <row r="140" spans="1:12" x14ac:dyDescent="0.45">
      <c r="A140" s="8"/>
      <c r="B140" s="8"/>
      <c r="C140" s="24">
        <f t="shared" si="8"/>
        <v>0</v>
      </c>
      <c r="D140" s="24">
        <f t="shared" si="8"/>
        <v>0</v>
      </c>
      <c r="E140" s="8"/>
      <c r="F140" s="8"/>
      <c r="G140" s="24">
        <f t="shared" si="9"/>
        <v>0</v>
      </c>
      <c r="H140" s="24">
        <f t="shared" si="10"/>
        <v>0</v>
      </c>
      <c r="I140" s="8"/>
      <c r="J140" s="8"/>
      <c r="K140" s="24">
        <f>COUNTIF(I$2:I$294,I140)</f>
        <v>0</v>
      </c>
      <c r="L140" s="24">
        <f>COUNTIF(J$2:J$294,J140)</f>
        <v>0</v>
      </c>
    </row>
    <row r="141" spans="1:12" x14ac:dyDescent="0.45">
      <c r="A141" s="8"/>
      <c r="B141" s="8"/>
      <c r="C141" s="24">
        <f t="shared" si="8"/>
        <v>0</v>
      </c>
      <c r="D141" s="24">
        <f t="shared" si="8"/>
        <v>0</v>
      </c>
      <c r="E141" s="8"/>
      <c r="F141" s="8"/>
      <c r="G141" s="24">
        <f t="shared" si="9"/>
        <v>0</v>
      </c>
      <c r="H141" s="24">
        <f t="shared" si="10"/>
        <v>0</v>
      </c>
      <c r="I141" s="8"/>
      <c r="J141" s="8"/>
      <c r="K141" s="24">
        <f t="shared" si="11"/>
        <v>0</v>
      </c>
      <c r="L141" s="24">
        <f t="shared" si="11"/>
        <v>0</v>
      </c>
    </row>
    <row r="142" spans="1:12" x14ac:dyDescent="0.45">
      <c r="A142" s="8"/>
      <c r="B142" s="8"/>
      <c r="C142" s="24">
        <f t="shared" si="8"/>
        <v>0</v>
      </c>
      <c r="D142" s="24">
        <f t="shared" si="8"/>
        <v>0</v>
      </c>
      <c r="E142" s="8"/>
      <c r="F142" s="8"/>
      <c r="G142" s="24">
        <f t="shared" si="9"/>
        <v>0</v>
      </c>
      <c r="H142" s="24">
        <f t="shared" si="10"/>
        <v>0</v>
      </c>
      <c r="I142" s="8"/>
      <c r="J142" s="8"/>
      <c r="K142" s="24">
        <f t="shared" si="11"/>
        <v>0</v>
      </c>
      <c r="L142" s="24">
        <f t="shared" si="11"/>
        <v>0</v>
      </c>
    </row>
    <row r="143" spans="1:12" x14ac:dyDescent="0.45">
      <c r="A143" s="8"/>
      <c r="B143" s="8"/>
      <c r="C143" s="24">
        <f t="shared" si="8"/>
        <v>0</v>
      </c>
      <c r="D143" s="24">
        <f t="shared" si="8"/>
        <v>0</v>
      </c>
      <c r="E143" s="8"/>
      <c r="F143" s="8"/>
      <c r="G143" s="24">
        <f t="shared" si="9"/>
        <v>0</v>
      </c>
      <c r="H143" s="24">
        <f t="shared" si="10"/>
        <v>0</v>
      </c>
      <c r="I143" s="8"/>
      <c r="J143" s="8"/>
      <c r="K143" s="24">
        <f t="shared" si="11"/>
        <v>0</v>
      </c>
      <c r="L143" s="24">
        <f t="shared" si="11"/>
        <v>0</v>
      </c>
    </row>
    <row r="144" spans="1:12" x14ac:dyDescent="0.45">
      <c r="A144" s="8"/>
      <c r="B144" s="8"/>
      <c r="C144" s="24">
        <f t="shared" si="8"/>
        <v>0</v>
      </c>
      <c r="D144" s="24">
        <f t="shared" si="8"/>
        <v>0</v>
      </c>
      <c r="E144" s="8"/>
      <c r="F144" s="8"/>
      <c r="G144" s="24">
        <f t="shared" si="9"/>
        <v>0</v>
      </c>
      <c r="H144" s="24">
        <f t="shared" si="10"/>
        <v>0</v>
      </c>
      <c r="I144" s="8"/>
      <c r="J144" s="8"/>
      <c r="K144" s="24">
        <f t="shared" si="11"/>
        <v>0</v>
      </c>
      <c r="L144" s="24">
        <f t="shared" si="11"/>
        <v>0</v>
      </c>
    </row>
    <row r="145" spans="1:12" x14ac:dyDescent="0.45">
      <c r="A145" s="8"/>
      <c r="B145" s="8"/>
      <c r="C145" s="24">
        <f t="shared" si="8"/>
        <v>0</v>
      </c>
      <c r="D145" s="24">
        <f t="shared" si="8"/>
        <v>0</v>
      </c>
      <c r="E145" s="8"/>
      <c r="F145" s="8"/>
      <c r="G145" s="24">
        <f t="shared" si="9"/>
        <v>0</v>
      </c>
      <c r="H145" s="24">
        <f t="shared" si="10"/>
        <v>0</v>
      </c>
      <c r="I145" s="8"/>
      <c r="J145" s="8"/>
      <c r="K145" s="24">
        <f t="shared" si="11"/>
        <v>0</v>
      </c>
      <c r="L145" s="24">
        <f t="shared" si="11"/>
        <v>0</v>
      </c>
    </row>
    <row r="146" spans="1:12" x14ac:dyDescent="0.45">
      <c r="A146" s="8"/>
      <c r="B146" s="8"/>
      <c r="C146" s="24">
        <f t="shared" si="8"/>
        <v>0</v>
      </c>
      <c r="D146" s="24">
        <f t="shared" si="8"/>
        <v>0</v>
      </c>
      <c r="E146" s="8"/>
      <c r="F146" s="8"/>
      <c r="G146" s="24">
        <f t="shared" si="9"/>
        <v>0</v>
      </c>
      <c r="H146" s="24">
        <f t="shared" si="10"/>
        <v>0</v>
      </c>
      <c r="I146" s="8"/>
      <c r="J146" s="8"/>
      <c r="K146" s="24">
        <f t="shared" si="11"/>
        <v>0</v>
      </c>
      <c r="L146" s="24">
        <f t="shared" si="11"/>
        <v>0</v>
      </c>
    </row>
    <row r="147" spans="1:12" x14ac:dyDescent="0.45">
      <c r="A147" s="8"/>
      <c r="B147" s="8"/>
      <c r="C147" s="24">
        <f t="shared" si="8"/>
        <v>0</v>
      </c>
      <c r="D147" s="24">
        <f t="shared" si="8"/>
        <v>0</v>
      </c>
      <c r="E147" s="8"/>
      <c r="F147" s="8"/>
      <c r="G147" s="24">
        <f t="shared" si="9"/>
        <v>0</v>
      </c>
      <c r="H147" s="24">
        <f t="shared" si="10"/>
        <v>0</v>
      </c>
      <c r="I147" s="8"/>
      <c r="J147" s="8"/>
      <c r="K147" s="24">
        <f t="shared" si="11"/>
        <v>0</v>
      </c>
      <c r="L147" s="24">
        <f t="shared" si="11"/>
        <v>0</v>
      </c>
    </row>
    <row r="148" spans="1:12" x14ac:dyDescent="0.45">
      <c r="A148" s="8"/>
      <c r="B148" s="8"/>
      <c r="C148" s="24">
        <f t="shared" si="8"/>
        <v>0</v>
      </c>
      <c r="D148" s="24">
        <f t="shared" si="8"/>
        <v>0</v>
      </c>
      <c r="E148" s="8"/>
      <c r="F148" s="8"/>
      <c r="G148" s="24">
        <f t="shared" si="9"/>
        <v>0</v>
      </c>
      <c r="H148" s="24">
        <f t="shared" si="10"/>
        <v>0</v>
      </c>
      <c r="I148" s="8"/>
      <c r="J148" s="8"/>
      <c r="K148" s="24">
        <f t="shared" si="11"/>
        <v>0</v>
      </c>
      <c r="L148" s="24">
        <f t="shared" si="11"/>
        <v>0</v>
      </c>
    </row>
    <row r="149" spans="1:12" x14ac:dyDescent="0.45">
      <c r="A149" s="8"/>
      <c r="B149" s="8"/>
      <c r="C149" s="24">
        <f t="shared" si="8"/>
        <v>0</v>
      </c>
      <c r="D149" s="24">
        <f t="shared" si="8"/>
        <v>0</v>
      </c>
      <c r="E149" s="8"/>
      <c r="F149" s="8"/>
      <c r="G149" s="24">
        <f t="shared" si="9"/>
        <v>0</v>
      </c>
      <c r="H149" s="24">
        <f t="shared" si="10"/>
        <v>0</v>
      </c>
      <c r="I149" s="8"/>
      <c r="J149" s="8"/>
      <c r="K149" s="24">
        <f t="shared" si="11"/>
        <v>0</v>
      </c>
      <c r="L149" s="24">
        <f t="shared" si="11"/>
        <v>0</v>
      </c>
    </row>
    <row r="150" spans="1:12" x14ac:dyDescent="0.45">
      <c r="A150" s="8"/>
      <c r="B150" s="8"/>
      <c r="C150" s="24">
        <f t="shared" si="8"/>
        <v>0</v>
      </c>
      <c r="D150" s="24">
        <f t="shared" si="8"/>
        <v>0</v>
      </c>
      <c r="E150" s="8"/>
      <c r="F150" s="8"/>
      <c r="G150" s="24">
        <f t="shared" si="9"/>
        <v>0</v>
      </c>
      <c r="H150" s="24">
        <f t="shared" si="10"/>
        <v>0</v>
      </c>
      <c r="I150" s="8"/>
      <c r="J150" s="8"/>
      <c r="K150" s="24">
        <f t="shared" si="11"/>
        <v>0</v>
      </c>
      <c r="L150" s="24">
        <f t="shared" si="11"/>
        <v>0</v>
      </c>
    </row>
    <row r="151" spans="1:12" x14ac:dyDescent="0.45">
      <c r="A151" s="8"/>
      <c r="B151" s="8"/>
      <c r="C151" s="24">
        <f t="shared" si="8"/>
        <v>0</v>
      </c>
      <c r="D151" s="24">
        <f t="shared" si="8"/>
        <v>0</v>
      </c>
      <c r="E151" s="8"/>
      <c r="F151" s="8"/>
      <c r="G151" s="24">
        <f t="shared" si="9"/>
        <v>0</v>
      </c>
      <c r="H151" s="24">
        <f t="shared" si="10"/>
        <v>0</v>
      </c>
      <c r="I151" s="8"/>
      <c r="J151" s="8"/>
      <c r="K151" s="24">
        <f t="shared" si="11"/>
        <v>0</v>
      </c>
      <c r="L151" s="24">
        <f t="shared" si="11"/>
        <v>0</v>
      </c>
    </row>
    <row r="152" spans="1:12" x14ac:dyDescent="0.45">
      <c r="A152" s="8"/>
      <c r="B152" s="8"/>
      <c r="C152" s="24">
        <f t="shared" si="8"/>
        <v>0</v>
      </c>
      <c r="D152" s="24">
        <f t="shared" si="8"/>
        <v>0</v>
      </c>
      <c r="E152" s="8"/>
      <c r="F152" s="8"/>
      <c r="G152" s="24">
        <f t="shared" si="9"/>
        <v>0</v>
      </c>
      <c r="H152" s="24">
        <f t="shared" si="10"/>
        <v>0</v>
      </c>
      <c r="I152" s="8"/>
      <c r="J152" s="8"/>
      <c r="K152" s="24">
        <f t="shared" si="11"/>
        <v>0</v>
      </c>
      <c r="L152" s="24">
        <f t="shared" si="11"/>
        <v>0</v>
      </c>
    </row>
    <row r="153" spans="1:12" x14ac:dyDescent="0.45">
      <c r="A153" s="8"/>
      <c r="B153" s="8"/>
      <c r="C153" s="24">
        <f t="shared" si="8"/>
        <v>0</v>
      </c>
      <c r="D153" s="24">
        <f t="shared" si="8"/>
        <v>0</v>
      </c>
      <c r="E153" s="8"/>
      <c r="F153" s="8"/>
      <c r="G153" s="24">
        <f t="shared" si="9"/>
        <v>0</v>
      </c>
      <c r="H153" s="24">
        <f t="shared" si="10"/>
        <v>0</v>
      </c>
      <c r="I153" s="8"/>
      <c r="J153" s="8"/>
      <c r="K153" s="24">
        <f t="shared" si="11"/>
        <v>0</v>
      </c>
      <c r="L153" s="24">
        <f t="shared" si="11"/>
        <v>0</v>
      </c>
    </row>
    <row r="154" spans="1:12" x14ac:dyDescent="0.45">
      <c r="A154" s="8"/>
      <c r="B154" s="8"/>
      <c r="C154" s="24">
        <f t="shared" si="8"/>
        <v>0</v>
      </c>
      <c r="D154" s="24">
        <f t="shared" si="8"/>
        <v>0</v>
      </c>
      <c r="E154" s="8"/>
      <c r="F154" s="8"/>
      <c r="G154" s="24">
        <f t="shared" si="9"/>
        <v>0</v>
      </c>
      <c r="H154" s="24">
        <f t="shared" si="10"/>
        <v>0</v>
      </c>
      <c r="I154" s="8"/>
      <c r="J154" s="8"/>
      <c r="K154" s="24">
        <f t="shared" si="11"/>
        <v>0</v>
      </c>
      <c r="L154" s="24">
        <f t="shared" si="11"/>
        <v>0</v>
      </c>
    </row>
    <row r="155" spans="1:12" x14ac:dyDescent="0.45">
      <c r="A155" s="8"/>
      <c r="B155" s="8"/>
      <c r="C155" s="24">
        <f t="shared" si="8"/>
        <v>0</v>
      </c>
      <c r="D155" s="24">
        <f t="shared" si="8"/>
        <v>0</v>
      </c>
      <c r="E155" s="8"/>
      <c r="F155" s="8"/>
      <c r="G155" s="24">
        <f t="shared" si="9"/>
        <v>0</v>
      </c>
      <c r="H155" s="24">
        <f t="shared" si="10"/>
        <v>0</v>
      </c>
      <c r="I155" s="8"/>
      <c r="J155" s="8"/>
      <c r="K155" s="24">
        <f t="shared" si="11"/>
        <v>0</v>
      </c>
      <c r="L155" s="24">
        <f t="shared" si="11"/>
        <v>0</v>
      </c>
    </row>
    <row r="156" spans="1:12" x14ac:dyDescent="0.45">
      <c r="A156" s="8"/>
      <c r="B156" s="8"/>
      <c r="C156" s="24">
        <f t="shared" si="8"/>
        <v>0</v>
      </c>
      <c r="D156" s="24">
        <f t="shared" si="8"/>
        <v>0</v>
      </c>
      <c r="E156" s="8"/>
      <c r="F156" s="8"/>
      <c r="G156" s="24">
        <f t="shared" si="9"/>
        <v>0</v>
      </c>
      <c r="H156" s="24">
        <f t="shared" si="10"/>
        <v>0</v>
      </c>
      <c r="I156" s="8"/>
      <c r="J156" s="8"/>
      <c r="K156" s="24">
        <f t="shared" si="11"/>
        <v>0</v>
      </c>
      <c r="L156" s="24">
        <f t="shared" si="11"/>
        <v>0</v>
      </c>
    </row>
    <row r="157" spans="1:12" x14ac:dyDescent="0.45">
      <c r="A157" s="8"/>
      <c r="B157" s="8"/>
      <c r="C157" s="24">
        <f t="shared" si="8"/>
        <v>0</v>
      </c>
      <c r="D157" s="24">
        <f t="shared" si="8"/>
        <v>0</v>
      </c>
      <c r="E157" s="8"/>
      <c r="F157" s="8"/>
      <c r="G157" s="24">
        <f t="shared" si="9"/>
        <v>0</v>
      </c>
      <c r="H157" s="24">
        <f t="shared" si="10"/>
        <v>0</v>
      </c>
      <c r="I157" s="8"/>
      <c r="J157" s="8"/>
      <c r="K157" s="24">
        <f t="shared" si="11"/>
        <v>0</v>
      </c>
      <c r="L157" s="24">
        <f t="shared" si="11"/>
        <v>0</v>
      </c>
    </row>
    <row r="158" spans="1:12" x14ac:dyDescent="0.45">
      <c r="A158" s="8"/>
      <c r="B158" s="8"/>
      <c r="C158" s="24">
        <f t="shared" si="8"/>
        <v>0</v>
      </c>
      <c r="D158" s="24">
        <f t="shared" si="8"/>
        <v>0</v>
      </c>
      <c r="E158" s="8"/>
      <c r="F158" s="8"/>
      <c r="G158" s="24">
        <f t="shared" si="9"/>
        <v>0</v>
      </c>
      <c r="H158" s="24">
        <f t="shared" si="10"/>
        <v>0</v>
      </c>
      <c r="I158" s="8"/>
      <c r="J158" s="8"/>
      <c r="K158" s="24">
        <f t="shared" si="11"/>
        <v>0</v>
      </c>
      <c r="L158" s="24">
        <f t="shared" si="11"/>
        <v>0</v>
      </c>
    </row>
    <row r="159" spans="1:12" x14ac:dyDescent="0.45">
      <c r="A159" s="8"/>
      <c r="B159" s="8"/>
      <c r="C159" s="24">
        <f t="shared" si="8"/>
        <v>0</v>
      </c>
      <c r="D159" s="24">
        <f t="shared" si="8"/>
        <v>0</v>
      </c>
      <c r="E159" s="8"/>
      <c r="F159" s="8"/>
      <c r="G159" s="24">
        <f t="shared" si="9"/>
        <v>0</v>
      </c>
      <c r="H159" s="24">
        <f t="shared" si="10"/>
        <v>0</v>
      </c>
      <c r="I159" s="8"/>
      <c r="J159" s="8"/>
      <c r="K159" s="24">
        <f t="shared" si="11"/>
        <v>0</v>
      </c>
      <c r="L159" s="24">
        <f t="shared" si="11"/>
        <v>0</v>
      </c>
    </row>
    <row r="160" spans="1:12" x14ac:dyDescent="0.45">
      <c r="A160" s="8"/>
      <c r="B160" s="8"/>
      <c r="C160" s="24">
        <f t="shared" si="8"/>
        <v>0</v>
      </c>
      <c r="D160" s="24">
        <f t="shared" si="8"/>
        <v>0</v>
      </c>
      <c r="E160" s="8"/>
      <c r="F160" s="8"/>
      <c r="G160" s="24">
        <f t="shared" si="9"/>
        <v>0</v>
      </c>
      <c r="H160" s="24">
        <f t="shared" si="10"/>
        <v>0</v>
      </c>
      <c r="I160" s="8"/>
      <c r="J160" s="8"/>
      <c r="K160" s="24">
        <f t="shared" si="11"/>
        <v>0</v>
      </c>
      <c r="L160" s="24">
        <f t="shared" si="11"/>
        <v>0</v>
      </c>
    </row>
    <row r="161" spans="1:12" x14ac:dyDescent="0.45">
      <c r="A161" s="8"/>
      <c r="B161" s="8"/>
      <c r="C161" s="24">
        <f t="shared" si="8"/>
        <v>0</v>
      </c>
      <c r="D161" s="24">
        <f t="shared" si="8"/>
        <v>0</v>
      </c>
      <c r="E161" s="8"/>
      <c r="F161" s="8"/>
      <c r="G161" s="24">
        <f t="shared" si="9"/>
        <v>0</v>
      </c>
      <c r="H161" s="24">
        <f t="shared" si="10"/>
        <v>0</v>
      </c>
      <c r="I161" s="8"/>
      <c r="J161" s="8"/>
      <c r="K161" s="24">
        <f t="shared" si="11"/>
        <v>0</v>
      </c>
      <c r="L161" s="24">
        <f t="shared" si="11"/>
        <v>0</v>
      </c>
    </row>
    <row r="162" spans="1:12" x14ac:dyDescent="0.45">
      <c r="A162" s="8"/>
      <c r="B162" s="8"/>
      <c r="C162" s="24">
        <f t="shared" si="8"/>
        <v>0</v>
      </c>
      <c r="D162" s="24">
        <f t="shared" si="8"/>
        <v>0</v>
      </c>
      <c r="E162" s="8"/>
      <c r="F162" s="8"/>
      <c r="G162" s="24">
        <f t="shared" si="9"/>
        <v>0</v>
      </c>
      <c r="H162" s="24">
        <f t="shared" si="10"/>
        <v>0</v>
      </c>
      <c r="I162" s="8"/>
      <c r="J162" s="8"/>
      <c r="K162" s="24">
        <f t="shared" si="11"/>
        <v>0</v>
      </c>
      <c r="L162" s="24">
        <f t="shared" si="11"/>
        <v>0</v>
      </c>
    </row>
    <row r="163" spans="1:12" x14ac:dyDescent="0.45">
      <c r="A163" s="8"/>
      <c r="B163" s="8"/>
      <c r="C163" s="24">
        <f t="shared" si="8"/>
        <v>0</v>
      </c>
      <c r="D163" s="24">
        <f t="shared" si="8"/>
        <v>0</v>
      </c>
      <c r="E163" s="8"/>
      <c r="F163" s="8"/>
      <c r="G163" s="24">
        <f t="shared" si="9"/>
        <v>0</v>
      </c>
      <c r="H163" s="24">
        <f t="shared" si="10"/>
        <v>0</v>
      </c>
      <c r="I163" s="8"/>
      <c r="J163" s="8"/>
      <c r="K163" s="24">
        <f t="shared" si="11"/>
        <v>0</v>
      </c>
      <c r="L163" s="24">
        <f t="shared" si="11"/>
        <v>0</v>
      </c>
    </row>
    <row r="164" spans="1:12" x14ac:dyDescent="0.45">
      <c r="A164" s="8"/>
      <c r="B164" s="8"/>
      <c r="C164" s="24">
        <f t="shared" si="8"/>
        <v>0</v>
      </c>
      <c r="D164" s="24">
        <f t="shared" si="8"/>
        <v>0</v>
      </c>
      <c r="E164" s="8"/>
      <c r="F164" s="8"/>
      <c r="G164" s="24">
        <f t="shared" si="9"/>
        <v>0</v>
      </c>
      <c r="H164" s="24">
        <f t="shared" si="10"/>
        <v>0</v>
      </c>
      <c r="I164" s="8"/>
      <c r="J164" s="8"/>
      <c r="K164" s="24">
        <f t="shared" si="11"/>
        <v>0</v>
      </c>
      <c r="L164" s="24">
        <f t="shared" si="11"/>
        <v>0</v>
      </c>
    </row>
    <row r="165" spans="1:12" x14ac:dyDescent="0.45">
      <c r="A165" s="8"/>
      <c r="B165" s="8"/>
      <c r="C165" s="24">
        <f t="shared" si="8"/>
        <v>0</v>
      </c>
      <c r="D165" s="24">
        <f t="shared" si="8"/>
        <v>0</v>
      </c>
      <c r="E165" s="8"/>
      <c r="F165" s="8"/>
      <c r="G165" s="24">
        <f t="shared" si="9"/>
        <v>0</v>
      </c>
      <c r="H165" s="24">
        <f t="shared" si="10"/>
        <v>0</v>
      </c>
      <c r="I165" s="8"/>
      <c r="J165" s="8"/>
      <c r="K165" s="24">
        <f t="shared" si="11"/>
        <v>0</v>
      </c>
      <c r="L165" s="24">
        <f t="shared" si="11"/>
        <v>0</v>
      </c>
    </row>
    <row r="166" spans="1:12" x14ac:dyDescent="0.45">
      <c r="A166" s="8"/>
      <c r="B166" s="8"/>
      <c r="C166" s="24">
        <f t="shared" si="8"/>
        <v>0</v>
      </c>
      <c r="D166" s="24">
        <f t="shared" si="8"/>
        <v>0</v>
      </c>
      <c r="E166" s="8"/>
      <c r="F166" s="8"/>
      <c r="G166" s="24">
        <f t="shared" si="9"/>
        <v>0</v>
      </c>
      <c r="H166" s="24">
        <f t="shared" si="10"/>
        <v>0</v>
      </c>
      <c r="I166" s="8"/>
      <c r="J166" s="8"/>
      <c r="K166" s="24">
        <f t="shared" si="11"/>
        <v>0</v>
      </c>
      <c r="L166" s="24">
        <f t="shared" si="11"/>
        <v>0</v>
      </c>
    </row>
    <row r="167" spans="1:12" x14ac:dyDescent="0.45">
      <c r="A167" s="8"/>
      <c r="B167" s="8"/>
      <c r="C167" s="24">
        <f t="shared" si="8"/>
        <v>0</v>
      </c>
      <c r="D167" s="24">
        <f t="shared" si="8"/>
        <v>0</v>
      </c>
      <c r="E167" s="8"/>
      <c r="F167" s="8"/>
      <c r="G167" s="24">
        <f t="shared" si="9"/>
        <v>0</v>
      </c>
      <c r="H167" s="24">
        <f t="shared" si="10"/>
        <v>0</v>
      </c>
      <c r="I167" s="8"/>
      <c r="J167" s="8"/>
      <c r="K167" s="24">
        <f t="shared" si="11"/>
        <v>0</v>
      </c>
      <c r="L167" s="24">
        <f t="shared" si="11"/>
        <v>0</v>
      </c>
    </row>
    <row r="168" spans="1:12" x14ac:dyDescent="0.45">
      <c r="A168" s="8"/>
      <c r="B168" s="8"/>
      <c r="C168" s="24">
        <f t="shared" si="8"/>
        <v>0</v>
      </c>
      <c r="D168" s="24">
        <f t="shared" si="8"/>
        <v>0</v>
      </c>
      <c r="E168" s="8"/>
      <c r="F168" s="8"/>
      <c r="G168" s="24">
        <f t="shared" si="9"/>
        <v>0</v>
      </c>
      <c r="H168" s="24">
        <f t="shared" si="10"/>
        <v>0</v>
      </c>
      <c r="I168" s="8"/>
      <c r="J168" s="8"/>
      <c r="K168" s="24">
        <f t="shared" si="11"/>
        <v>0</v>
      </c>
      <c r="L168" s="24">
        <f t="shared" si="11"/>
        <v>0</v>
      </c>
    </row>
    <row r="169" spans="1:12" x14ac:dyDescent="0.45">
      <c r="A169" s="8"/>
      <c r="B169" s="8"/>
      <c r="C169" s="24">
        <f t="shared" si="8"/>
        <v>0</v>
      </c>
      <c r="D169" s="24">
        <f t="shared" si="8"/>
        <v>0</v>
      </c>
      <c r="E169" s="8"/>
      <c r="F169" s="8"/>
      <c r="G169" s="24">
        <f t="shared" si="9"/>
        <v>0</v>
      </c>
      <c r="H169" s="24">
        <f t="shared" si="10"/>
        <v>0</v>
      </c>
      <c r="I169" s="8"/>
      <c r="J169" s="8"/>
      <c r="K169" s="24">
        <f t="shared" si="11"/>
        <v>0</v>
      </c>
      <c r="L169" s="24">
        <f t="shared" si="11"/>
        <v>0</v>
      </c>
    </row>
    <row r="170" spans="1:12" x14ac:dyDescent="0.45">
      <c r="A170" s="8"/>
      <c r="B170" s="8"/>
      <c r="C170" s="24">
        <f t="shared" si="8"/>
        <v>0</v>
      </c>
      <c r="D170" s="24">
        <f t="shared" si="8"/>
        <v>0</v>
      </c>
      <c r="E170" s="8"/>
      <c r="F170" s="8"/>
      <c r="G170" s="24">
        <f t="shared" si="9"/>
        <v>0</v>
      </c>
      <c r="H170" s="24">
        <f t="shared" si="10"/>
        <v>0</v>
      </c>
      <c r="I170" s="8"/>
      <c r="J170" s="8"/>
      <c r="K170" s="24">
        <f t="shared" si="11"/>
        <v>0</v>
      </c>
      <c r="L170" s="24">
        <f t="shared" si="11"/>
        <v>0</v>
      </c>
    </row>
    <row r="171" spans="1:12" x14ac:dyDescent="0.45">
      <c r="A171" s="8"/>
      <c r="B171" s="8"/>
      <c r="C171" s="24">
        <f t="shared" si="8"/>
        <v>0</v>
      </c>
      <c r="D171" s="24">
        <f t="shared" si="8"/>
        <v>0</v>
      </c>
      <c r="E171" s="8"/>
      <c r="F171" s="8"/>
      <c r="G171" s="24">
        <f t="shared" si="9"/>
        <v>0</v>
      </c>
      <c r="H171" s="24">
        <f t="shared" si="10"/>
        <v>0</v>
      </c>
      <c r="I171" s="8"/>
      <c r="J171" s="8"/>
      <c r="K171" s="24">
        <f t="shared" si="11"/>
        <v>0</v>
      </c>
      <c r="L171" s="24">
        <f t="shared" si="11"/>
        <v>0</v>
      </c>
    </row>
    <row r="172" spans="1:12" x14ac:dyDescent="0.45">
      <c r="A172" s="8"/>
      <c r="B172" s="8"/>
      <c r="C172" s="24">
        <f t="shared" si="8"/>
        <v>0</v>
      </c>
      <c r="D172" s="24">
        <f t="shared" si="8"/>
        <v>0</v>
      </c>
      <c r="E172" s="8"/>
      <c r="F172" s="8"/>
      <c r="G172" s="24">
        <f t="shared" si="9"/>
        <v>0</v>
      </c>
      <c r="H172" s="24">
        <f t="shared" si="10"/>
        <v>0</v>
      </c>
      <c r="I172" s="8"/>
      <c r="J172" s="8"/>
      <c r="K172" s="24">
        <f t="shared" si="11"/>
        <v>0</v>
      </c>
      <c r="L172" s="24">
        <f t="shared" si="11"/>
        <v>0</v>
      </c>
    </row>
    <row r="173" spans="1:12" x14ac:dyDescent="0.45">
      <c r="A173" s="8"/>
      <c r="B173" s="8"/>
      <c r="C173" s="24">
        <f t="shared" si="8"/>
        <v>0</v>
      </c>
      <c r="D173" s="24">
        <f t="shared" si="8"/>
        <v>0</v>
      </c>
      <c r="E173" s="8"/>
      <c r="F173" s="8"/>
      <c r="G173" s="24">
        <f t="shared" si="9"/>
        <v>0</v>
      </c>
      <c r="H173" s="24">
        <f t="shared" si="10"/>
        <v>0</v>
      </c>
      <c r="I173" s="8"/>
      <c r="J173" s="8"/>
      <c r="K173" s="24">
        <f t="shared" si="11"/>
        <v>0</v>
      </c>
      <c r="L173" s="24">
        <f t="shared" si="11"/>
        <v>0</v>
      </c>
    </row>
    <row r="174" spans="1:12" x14ac:dyDescent="0.45">
      <c r="A174" s="8"/>
      <c r="B174" s="8"/>
      <c r="C174" s="24">
        <f t="shared" si="8"/>
        <v>0</v>
      </c>
      <c r="D174" s="24">
        <f t="shared" si="8"/>
        <v>0</v>
      </c>
      <c r="E174" s="8"/>
      <c r="F174" s="8"/>
      <c r="G174" s="24">
        <f t="shared" si="9"/>
        <v>0</v>
      </c>
      <c r="H174" s="24">
        <f t="shared" si="10"/>
        <v>0</v>
      </c>
      <c r="I174" s="8"/>
      <c r="J174" s="8"/>
      <c r="K174" s="24">
        <f t="shared" si="11"/>
        <v>0</v>
      </c>
      <c r="L174" s="24">
        <f t="shared" si="11"/>
        <v>0</v>
      </c>
    </row>
    <row r="175" spans="1:12" x14ac:dyDescent="0.45">
      <c r="A175" s="8"/>
      <c r="B175" s="8"/>
      <c r="C175" s="24">
        <f t="shared" si="8"/>
        <v>0</v>
      </c>
      <c r="D175" s="24">
        <f t="shared" si="8"/>
        <v>0</v>
      </c>
      <c r="E175" s="8"/>
      <c r="F175" s="8"/>
      <c r="G175" s="24">
        <f t="shared" si="9"/>
        <v>0</v>
      </c>
      <c r="H175" s="24">
        <f t="shared" si="10"/>
        <v>0</v>
      </c>
      <c r="I175" s="8"/>
      <c r="J175" s="8"/>
      <c r="K175" s="24">
        <f t="shared" si="11"/>
        <v>0</v>
      </c>
      <c r="L175" s="24">
        <f t="shared" si="11"/>
        <v>0</v>
      </c>
    </row>
    <row r="176" spans="1:12" x14ac:dyDescent="0.45">
      <c r="A176" s="8"/>
      <c r="B176" s="8"/>
      <c r="C176" s="24">
        <f t="shared" si="8"/>
        <v>0</v>
      </c>
      <c r="D176" s="24">
        <f t="shared" si="8"/>
        <v>0</v>
      </c>
      <c r="E176" s="8"/>
      <c r="F176" s="8"/>
      <c r="G176" s="24">
        <f t="shared" si="9"/>
        <v>0</v>
      </c>
      <c r="H176" s="24">
        <f t="shared" si="10"/>
        <v>0</v>
      </c>
      <c r="I176" s="8"/>
      <c r="J176" s="8"/>
      <c r="K176" s="24">
        <f t="shared" si="11"/>
        <v>0</v>
      </c>
      <c r="L176" s="24">
        <f t="shared" si="11"/>
        <v>0</v>
      </c>
    </row>
    <row r="177" spans="1:12" x14ac:dyDescent="0.45">
      <c r="A177" s="8"/>
      <c r="B177" s="8"/>
      <c r="C177" s="24">
        <f t="shared" si="8"/>
        <v>0</v>
      </c>
      <c r="D177" s="24">
        <f t="shared" si="8"/>
        <v>0</v>
      </c>
      <c r="E177" s="8"/>
      <c r="F177" s="8"/>
      <c r="G177" s="24">
        <f t="shared" si="9"/>
        <v>0</v>
      </c>
      <c r="H177" s="24">
        <f t="shared" si="10"/>
        <v>0</v>
      </c>
      <c r="I177" s="8"/>
      <c r="J177" s="8"/>
      <c r="K177" s="24">
        <f t="shared" si="11"/>
        <v>0</v>
      </c>
      <c r="L177" s="24">
        <f t="shared" si="11"/>
        <v>0</v>
      </c>
    </row>
    <row r="178" spans="1:12" x14ac:dyDescent="0.45">
      <c r="A178" s="8"/>
      <c r="B178" s="8"/>
      <c r="C178" s="24">
        <f t="shared" si="8"/>
        <v>0</v>
      </c>
      <c r="D178" s="24">
        <f t="shared" si="8"/>
        <v>0</v>
      </c>
      <c r="E178" s="8"/>
      <c r="F178" s="8"/>
      <c r="G178" s="24">
        <f t="shared" si="9"/>
        <v>0</v>
      </c>
      <c r="H178" s="24">
        <f t="shared" si="10"/>
        <v>0</v>
      </c>
      <c r="I178" s="8"/>
      <c r="J178" s="8"/>
      <c r="K178" s="24">
        <f t="shared" si="11"/>
        <v>0</v>
      </c>
      <c r="L178" s="24">
        <f t="shared" si="11"/>
        <v>0</v>
      </c>
    </row>
    <row r="179" spans="1:12" x14ac:dyDescent="0.45">
      <c r="A179" s="8"/>
      <c r="B179" s="8"/>
      <c r="C179" s="24">
        <f t="shared" si="8"/>
        <v>0</v>
      </c>
      <c r="D179" s="24">
        <f t="shared" si="8"/>
        <v>0</v>
      </c>
      <c r="E179" s="8"/>
      <c r="F179" s="8"/>
      <c r="G179" s="24">
        <f t="shared" si="9"/>
        <v>0</v>
      </c>
      <c r="H179" s="24">
        <f t="shared" si="10"/>
        <v>0</v>
      </c>
      <c r="I179" s="8"/>
      <c r="J179" s="8"/>
      <c r="K179" s="24">
        <f t="shared" si="11"/>
        <v>0</v>
      </c>
      <c r="L179" s="24">
        <f t="shared" si="11"/>
        <v>0</v>
      </c>
    </row>
    <row r="180" spans="1:12" x14ac:dyDescent="0.45">
      <c r="A180" s="8"/>
      <c r="B180" s="8"/>
      <c r="C180" s="24">
        <f t="shared" si="8"/>
        <v>0</v>
      </c>
      <c r="D180" s="24">
        <f t="shared" si="8"/>
        <v>0</v>
      </c>
      <c r="E180" s="8"/>
      <c r="F180" s="8"/>
      <c r="G180" s="24">
        <f t="shared" si="9"/>
        <v>0</v>
      </c>
      <c r="H180" s="24">
        <f t="shared" si="10"/>
        <v>0</v>
      </c>
      <c r="I180" s="8"/>
      <c r="J180" s="8"/>
      <c r="K180" s="24">
        <f t="shared" si="11"/>
        <v>0</v>
      </c>
      <c r="L180" s="24">
        <f t="shared" si="11"/>
        <v>0</v>
      </c>
    </row>
    <row r="181" spans="1:12" x14ac:dyDescent="0.45">
      <c r="A181" s="8"/>
      <c r="B181" s="8"/>
      <c r="C181" s="24">
        <f t="shared" si="8"/>
        <v>0</v>
      </c>
      <c r="D181" s="24">
        <f t="shared" si="8"/>
        <v>0</v>
      </c>
      <c r="E181" s="8"/>
      <c r="F181" s="8"/>
      <c r="G181" s="24">
        <f t="shared" si="9"/>
        <v>0</v>
      </c>
      <c r="H181" s="24">
        <f t="shared" si="10"/>
        <v>0</v>
      </c>
      <c r="I181" s="8"/>
      <c r="J181" s="8"/>
      <c r="K181" s="24">
        <f t="shared" si="11"/>
        <v>0</v>
      </c>
      <c r="L181" s="24">
        <f t="shared" si="11"/>
        <v>0</v>
      </c>
    </row>
    <row r="182" spans="1:12" x14ac:dyDescent="0.45">
      <c r="A182" s="8"/>
      <c r="B182" s="8"/>
      <c r="C182" s="24">
        <f t="shared" si="8"/>
        <v>0</v>
      </c>
      <c r="D182" s="24">
        <f t="shared" si="8"/>
        <v>0</v>
      </c>
      <c r="E182" s="8"/>
      <c r="F182" s="8"/>
      <c r="G182" s="24">
        <f t="shared" si="9"/>
        <v>0</v>
      </c>
      <c r="H182" s="24">
        <f t="shared" si="10"/>
        <v>0</v>
      </c>
      <c r="I182" s="8"/>
      <c r="J182" s="8"/>
      <c r="K182" s="24">
        <f t="shared" si="11"/>
        <v>0</v>
      </c>
      <c r="L182" s="24">
        <f t="shared" si="11"/>
        <v>0</v>
      </c>
    </row>
    <row r="183" spans="1:12" x14ac:dyDescent="0.45">
      <c r="A183" s="8"/>
      <c r="B183" s="8"/>
      <c r="C183" s="24">
        <f t="shared" si="8"/>
        <v>0</v>
      </c>
      <c r="D183" s="24">
        <f t="shared" si="8"/>
        <v>0</v>
      </c>
      <c r="E183" s="8"/>
      <c r="F183" s="8"/>
      <c r="G183" s="24">
        <f t="shared" si="9"/>
        <v>0</v>
      </c>
      <c r="H183" s="24">
        <f t="shared" si="10"/>
        <v>0</v>
      </c>
      <c r="I183" s="8"/>
      <c r="J183" s="8"/>
      <c r="K183" s="24">
        <f t="shared" si="11"/>
        <v>0</v>
      </c>
      <c r="L183" s="24">
        <f t="shared" si="11"/>
        <v>0</v>
      </c>
    </row>
    <row r="184" spans="1:12" x14ac:dyDescent="0.45">
      <c r="A184" s="8"/>
      <c r="B184" s="8"/>
      <c r="C184" s="24">
        <f t="shared" si="8"/>
        <v>0</v>
      </c>
      <c r="D184" s="24">
        <f t="shared" si="8"/>
        <v>0</v>
      </c>
      <c r="E184" s="8"/>
      <c r="F184" s="8"/>
      <c r="G184" s="24">
        <f t="shared" si="9"/>
        <v>0</v>
      </c>
      <c r="H184" s="24">
        <f t="shared" si="10"/>
        <v>0</v>
      </c>
      <c r="I184" s="8"/>
      <c r="J184" s="8"/>
      <c r="K184" s="24">
        <f t="shared" si="11"/>
        <v>0</v>
      </c>
      <c r="L184" s="24">
        <f t="shared" si="11"/>
        <v>0</v>
      </c>
    </row>
    <row r="185" spans="1:12" x14ac:dyDescent="0.45">
      <c r="A185" s="8"/>
      <c r="B185" s="8"/>
      <c r="C185" s="24">
        <f t="shared" si="8"/>
        <v>0</v>
      </c>
      <c r="D185" s="24">
        <f t="shared" si="8"/>
        <v>0</v>
      </c>
      <c r="E185" s="8"/>
      <c r="F185" s="8"/>
      <c r="G185" s="24">
        <f t="shared" si="9"/>
        <v>0</v>
      </c>
      <c r="H185" s="24">
        <f t="shared" si="10"/>
        <v>0</v>
      </c>
      <c r="I185" s="8"/>
      <c r="J185" s="8"/>
      <c r="K185" s="24">
        <f t="shared" si="11"/>
        <v>0</v>
      </c>
      <c r="L185" s="24">
        <f t="shared" si="11"/>
        <v>0</v>
      </c>
    </row>
    <row r="186" spans="1:12" x14ac:dyDescent="0.45">
      <c r="A186" s="8"/>
      <c r="B186" s="8"/>
      <c r="C186" s="24">
        <f t="shared" si="8"/>
        <v>0</v>
      </c>
      <c r="D186" s="24">
        <f t="shared" si="8"/>
        <v>0</v>
      </c>
      <c r="E186" s="8"/>
      <c r="F186" s="8"/>
      <c r="G186" s="24">
        <f t="shared" si="9"/>
        <v>0</v>
      </c>
      <c r="H186" s="24">
        <f t="shared" si="10"/>
        <v>0</v>
      </c>
      <c r="I186" s="8"/>
      <c r="J186" s="8"/>
      <c r="K186" s="24">
        <f t="shared" si="11"/>
        <v>0</v>
      </c>
      <c r="L186" s="24">
        <f t="shared" si="11"/>
        <v>0</v>
      </c>
    </row>
    <row r="187" spans="1:12" x14ac:dyDescent="0.45">
      <c r="A187" s="8"/>
      <c r="B187" s="8"/>
      <c r="C187" s="24">
        <f t="shared" si="8"/>
        <v>0</v>
      </c>
      <c r="D187" s="24">
        <f t="shared" si="8"/>
        <v>0</v>
      </c>
      <c r="E187" s="8"/>
      <c r="F187" s="8"/>
      <c r="G187" s="24">
        <f t="shared" si="9"/>
        <v>0</v>
      </c>
      <c r="H187" s="24">
        <f t="shared" si="10"/>
        <v>0</v>
      </c>
      <c r="I187" s="8"/>
      <c r="J187" s="8"/>
      <c r="K187" s="24">
        <f t="shared" si="11"/>
        <v>0</v>
      </c>
      <c r="L187" s="24">
        <f t="shared" si="11"/>
        <v>0</v>
      </c>
    </row>
    <row r="188" spans="1:12" x14ac:dyDescent="0.45">
      <c r="A188" s="8"/>
      <c r="B188" s="8"/>
      <c r="C188" s="24">
        <f t="shared" si="8"/>
        <v>0</v>
      </c>
      <c r="D188" s="24">
        <f t="shared" si="8"/>
        <v>0</v>
      </c>
      <c r="E188" s="8"/>
      <c r="F188" s="8"/>
      <c r="G188" s="24">
        <f t="shared" si="9"/>
        <v>0</v>
      </c>
      <c r="H188" s="24">
        <f t="shared" si="10"/>
        <v>0</v>
      </c>
      <c r="I188" s="8"/>
      <c r="J188" s="8"/>
      <c r="K188" s="24">
        <f t="shared" si="11"/>
        <v>0</v>
      </c>
      <c r="L188" s="24">
        <f t="shared" si="11"/>
        <v>0</v>
      </c>
    </row>
    <row r="189" spans="1:12" x14ac:dyDescent="0.45">
      <c r="A189" s="8"/>
      <c r="B189" s="8"/>
      <c r="C189" s="24">
        <f t="shared" si="8"/>
        <v>0</v>
      </c>
      <c r="D189" s="24">
        <f t="shared" si="8"/>
        <v>0</v>
      </c>
      <c r="E189" s="8"/>
      <c r="F189" s="8"/>
      <c r="G189" s="24">
        <f t="shared" si="9"/>
        <v>0</v>
      </c>
      <c r="H189" s="24">
        <f t="shared" si="10"/>
        <v>0</v>
      </c>
      <c r="I189" s="8"/>
      <c r="J189" s="8"/>
      <c r="K189" s="24">
        <f t="shared" si="11"/>
        <v>0</v>
      </c>
      <c r="L189" s="24">
        <f t="shared" si="11"/>
        <v>0</v>
      </c>
    </row>
    <row r="190" spans="1:12" x14ac:dyDescent="0.45">
      <c r="A190" s="8"/>
      <c r="B190" s="8"/>
      <c r="C190" s="24">
        <f t="shared" si="8"/>
        <v>0</v>
      </c>
      <c r="D190" s="24">
        <f t="shared" si="8"/>
        <v>0</v>
      </c>
      <c r="E190" s="8"/>
      <c r="F190" s="8"/>
      <c r="G190" s="24">
        <f t="shared" si="9"/>
        <v>0</v>
      </c>
      <c r="H190" s="24">
        <f t="shared" si="10"/>
        <v>0</v>
      </c>
      <c r="I190" s="8"/>
      <c r="J190" s="8"/>
      <c r="K190" s="24">
        <f t="shared" si="11"/>
        <v>0</v>
      </c>
      <c r="L190" s="24">
        <f t="shared" si="11"/>
        <v>0</v>
      </c>
    </row>
    <row r="191" spans="1:12" x14ac:dyDescent="0.45">
      <c r="A191" s="8"/>
      <c r="B191" s="8"/>
      <c r="C191" s="24">
        <f t="shared" si="8"/>
        <v>0</v>
      </c>
      <c r="D191" s="24">
        <f t="shared" si="8"/>
        <v>0</v>
      </c>
      <c r="E191" s="8"/>
      <c r="F191" s="8"/>
      <c r="G191" s="24">
        <f t="shared" si="9"/>
        <v>0</v>
      </c>
      <c r="H191" s="24">
        <f t="shared" si="10"/>
        <v>0</v>
      </c>
      <c r="I191" s="8"/>
      <c r="J191" s="8"/>
      <c r="K191" s="24">
        <f t="shared" si="11"/>
        <v>0</v>
      </c>
      <c r="L191" s="24">
        <f t="shared" si="11"/>
        <v>0</v>
      </c>
    </row>
    <row r="192" spans="1:12" x14ac:dyDescent="0.45">
      <c r="A192" s="8"/>
      <c r="B192" s="8"/>
      <c r="C192" s="24">
        <f t="shared" si="8"/>
        <v>0</v>
      </c>
      <c r="D192" s="24">
        <f t="shared" si="8"/>
        <v>0</v>
      </c>
      <c r="E192" s="8"/>
      <c r="F192" s="8"/>
      <c r="G192" s="24">
        <f t="shared" si="9"/>
        <v>0</v>
      </c>
      <c r="H192" s="24">
        <f t="shared" si="10"/>
        <v>0</v>
      </c>
      <c r="I192" s="8"/>
      <c r="J192" s="8"/>
      <c r="K192" s="24">
        <f t="shared" si="11"/>
        <v>0</v>
      </c>
      <c r="L192" s="24">
        <f t="shared" si="11"/>
        <v>0</v>
      </c>
    </row>
    <row r="193" spans="1:12" x14ac:dyDescent="0.45">
      <c r="A193" s="8"/>
      <c r="B193" s="8"/>
      <c r="C193" s="24">
        <f t="shared" si="8"/>
        <v>0</v>
      </c>
      <c r="D193" s="24">
        <f t="shared" si="8"/>
        <v>0</v>
      </c>
      <c r="E193" s="8"/>
      <c r="F193" s="8"/>
      <c r="G193" s="24">
        <f t="shared" si="9"/>
        <v>0</v>
      </c>
      <c r="H193" s="24">
        <f t="shared" si="10"/>
        <v>0</v>
      </c>
      <c r="I193" s="8"/>
      <c r="J193" s="8"/>
      <c r="K193" s="24">
        <f t="shared" si="11"/>
        <v>0</v>
      </c>
      <c r="L193" s="24">
        <f t="shared" si="11"/>
        <v>0</v>
      </c>
    </row>
    <row r="194" spans="1:12" x14ac:dyDescent="0.45">
      <c r="A194" s="8"/>
      <c r="B194" s="8"/>
      <c r="C194" s="24">
        <f t="shared" si="8"/>
        <v>0</v>
      </c>
      <c r="D194" s="24">
        <f t="shared" si="8"/>
        <v>0</v>
      </c>
      <c r="E194" s="8"/>
      <c r="F194" s="8"/>
      <c r="G194" s="24">
        <f t="shared" si="9"/>
        <v>0</v>
      </c>
      <c r="H194" s="24">
        <f t="shared" si="10"/>
        <v>0</v>
      </c>
      <c r="I194" s="8"/>
      <c r="J194" s="8"/>
      <c r="K194" s="24">
        <f t="shared" si="11"/>
        <v>0</v>
      </c>
      <c r="L194" s="24">
        <f t="shared" si="11"/>
        <v>0</v>
      </c>
    </row>
    <row r="195" spans="1:12" x14ac:dyDescent="0.45">
      <c r="A195" s="8"/>
      <c r="B195" s="8"/>
      <c r="C195" s="24">
        <f t="shared" ref="C195:D258" si="12">COUNTIF(A$2:A$294,A195)</f>
        <v>0</v>
      </c>
      <c r="D195" s="24">
        <f t="shared" si="12"/>
        <v>0</v>
      </c>
      <c r="E195" s="8"/>
      <c r="F195" s="8"/>
      <c r="G195" s="24">
        <f t="shared" ref="G195:G258" si="13">COUNTIF(E$2:E$294,E195)</f>
        <v>0</v>
      </c>
      <c r="H195" s="24">
        <f t="shared" ref="H195:H258" si="14">COUNTIF($F$2:$F$294,F195)</f>
        <v>0</v>
      </c>
      <c r="I195" s="8"/>
      <c r="J195" s="8"/>
      <c r="K195" s="24">
        <f t="shared" ref="K195:L258" si="15">COUNTIF(I$2:I$294,I195)</f>
        <v>0</v>
      </c>
      <c r="L195" s="24">
        <f t="shared" si="15"/>
        <v>0</v>
      </c>
    </row>
    <row r="196" spans="1:12" x14ac:dyDescent="0.45">
      <c r="A196" s="8"/>
      <c r="B196" s="8"/>
      <c r="C196" s="24">
        <f t="shared" si="12"/>
        <v>0</v>
      </c>
      <c r="D196" s="24">
        <f t="shared" si="12"/>
        <v>0</v>
      </c>
      <c r="E196" s="8"/>
      <c r="F196" s="8"/>
      <c r="G196" s="24">
        <f t="shared" si="13"/>
        <v>0</v>
      </c>
      <c r="H196" s="24">
        <f t="shared" si="14"/>
        <v>0</v>
      </c>
      <c r="I196" s="8"/>
      <c r="J196" s="8"/>
      <c r="K196" s="24">
        <f t="shared" si="15"/>
        <v>0</v>
      </c>
      <c r="L196" s="24">
        <f t="shared" si="15"/>
        <v>0</v>
      </c>
    </row>
    <row r="197" spans="1:12" x14ac:dyDescent="0.45">
      <c r="A197" s="8"/>
      <c r="B197" s="8"/>
      <c r="C197" s="24">
        <f t="shared" si="12"/>
        <v>0</v>
      </c>
      <c r="D197" s="24">
        <f t="shared" si="12"/>
        <v>0</v>
      </c>
      <c r="E197" s="8"/>
      <c r="F197" s="8"/>
      <c r="G197" s="24">
        <f t="shared" si="13"/>
        <v>0</v>
      </c>
      <c r="H197" s="24">
        <f t="shared" si="14"/>
        <v>0</v>
      </c>
      <c r="I197" s="8"/>
      <c r="J197" s="8"/>
      <c r="K197" s="24">
        <f t="shared" si="15"/>
        <v>0</v>
      </c>
      <c r="L197" s="24">
        <f t="shared" si="15"/>
        <v>0</v>
      </c>
    </row>
    <row r="198" spans="1:12" x14ac:dyDescent="0.45">
      <c r="A198" s="8"/>
      <c r="B198" s="8"/>
      <c r="C198" s="24">
        <f t="shared" si="12"/>
        <v>0</v>
      </c>
      <c r="D198" s="24">
        <f t="shared" si="12"/>
        <v>0</v>
      </c>
      <c r="E198" s="8"/>
      <c r="F198" s="8"/>
      <c r="G198" s="24">
        <f t="shared" si="13"/>
        <v>0</v>
      </c>
      <c r="H198" s="24">
        <f t="shared" si="14"/>
        <v>0</v>
      </c>
      <c r="I198" s="8"/>
      <c r="J198" s="8"/>
      <c r="K198" s="24">
        <f t="shared" si="15"/>
        <v>0</v>
      </c>
      <c r="L198" s="24">
        <f t="shared" si="15"/>
        <v>0</v>
      </c>
    </row>
    <row r="199" spans="1:12" x14ac:dyDescent="0.45">
      <c r="A199" s="8"/>
      <c r="B199" s="8"/>
      <c r="C199" s="24">
        <f t="shared" si="12"/>
        <v>0</v>
      </c>
      <c r="D199" s="24">
        <f t="shared" si="12"/>
        <v>0</v>
      </c>
      <c r="E199" s="8"/>
      <c r="F199" s="8"/>
      <c r="G199" s="24">
        <f t="shared" si="13"/>
        <v>0</v>
      </c>
      <c r="H199" s="24">
        <f t="shared" si="14"/>
        <v>0</v>
      </c>
      <c r="I199" s="8"/>
      <c r="J199" s="8"/>
      <c r="K199" s="24">
        <f t="shared" si="15"/>
        <v>0</v>
      </c>
      <c r="L199" s="24">
        <f t="shared" si="15"/>
        <v>0</v>
      </c>
    </row>
    <row r="200" spans="1:12" x14ac:dyDescent="0.45">
      <c r="A200" s="15"/>
      <c r="B200" s="15"/>
      <c r="C200" s="24">
        <f t="shared" si="12"/>
        <v>0</v>
      </c>
      <c r="D200" s="24">
        <f t="shared" si="12"/>
        <v>0</v>
      </c>
      <c r="E200" s="8"/>
      <c r="F200" s="8"/>
      <c r="G200" s="24">
        <f t="shared" si="13"/>
        <v>0</v>
      </c>
      <c r="H200" s="24">
        <f t="shared" si="14"/>
        <v>0</v>
      </c>
      <c r="I200" s="8"/>
      <c r="J200" s="8"/>
      <c r="K200" s="24">
        <f t="shared" si="15"/>
        <v>0</v>
      </c>
      <c r="L200" s="24">
        <f t="shared" si="15"/>
        <v>0</v>
      </c>
    </row>
    <row r="201" spans="1:12" x14ac:dyDescent="0.45">
      <c r="A201" s="15"/>
      <c r="B201" s="15"/>
      <c r="C201" s="24">
        <f t="shared" si="12"/>
        <v>0</v>
      </c>
      <c r="D201" s="24">
        <f t="shared" si="12"/>
        <v>0</v>
      </c>
      <c r="E201" s="8"/>
      <c r="F201" s="8"/>
      <c r="G201" s="24">
        <f t="shared" si="13"/>
        <v>0</v>
      </c>
      <c r="H201" s="24">
        <f t="shared" si="14"/>
        <v>0</v>
      </c>
      <c r="I201" s="8"/>
      <c r="J201" s="8"/>
      <c r="K201" s="24">
        <f t="shared" si="15"/>
        <v>0</v>
      </c>
      <c r="L201" s="24">
        <f t="shared" si="15"/>
        <v>0</v>
      </c>
    </row>
    <row r="202" spans="1:12" x14ac:dyDescent="0.45">
      <c r="A202" s="15"/>
      <c r="B202" s="15"/>
      <c r="C202" s="24">
        <f t="shared" si="12"/>
        <v>0</v>
      </c>
      <c r="D202" s="24">
        <f t="shared" si="12"/>
        <v>0</v>
      </c>
      <c r="E202" s="8"/>
      <c r="F202" s="8"/>
      <c r="G202" s="24">
        <f t="shared" si="13"/>
        <v>0</v>
      </c>
      <c r="H202" s="24">
        <f t="shared" si="14"/>
        <v>0</v>
      </c>
      <c r="I202" s="15"/>
      <c r="J202" s="15"/>
      <c r="K202" s="24">
        <f t="shared" si="15"/>
        <v>0</v>
      </c>
      <c r="L202" s="24">
        <f t="shared" si="15"/>
        <v>0</v>
      </c>
    </row>
    <row r="203" spans="1:12" x14ac:dyDescent="0.45">
      <c r="A203" s="15"/>
      <c r="B203" s="15"/>
      <c r="C203" s="24">
        <f t="shared" si="12"/>
        <v>0</v>
      </c>
      <c r="D203" s="24">
        <f t="shared" si="12"/>
        <v>0</v>
      </c>
      <c r="E203" s="8"/>
      <c r="F203" s="8"/>
      <c r="G203" s="24">
        <f t="shared" si="13"/>
        <v>0</v>
      </c>
      <c r="H203" s="24">
        <f t="shared" si="14"/>
        <v>0</v>
      </c>
      <c r="I203" s="15"/>
      <c r="J203" s="15"/>
      <c r="K203" s="24">
        <f t="shared" si="15"/>
        <v>0</v>
      </c>
      <c r="L203" s="24">
        <f t="shared" si="15"/>
        <v>0</v>
      </c>
    </row>
    <row r="204" spans="1:12" x14ac:dyDescent="0.45">
      <c r="A204" s="15"/>
      <c r="B204" s="15"/>
      <c r="C204" s="24">
        <f t="shared" si="12"/>
        <v>0</v>
      </c>
      <c r="D204" s="24">
        <f t="shared" si="12"/>
        <v>0</v>
      </c>
      <c r="E204" s="8"/>
      <c r="F204" s="8"/>
      <c r="G204" s="24">
        <f t="shared" si="13"/>
        <v>0</v>
      </c>
      <c r="H204" s="24">
        <f t="shared" si="14"/>
        <v>0</v>
      </c>
      <c r="I204" s="15"/>
      <c r="J204" s="15"/>
      <c r="K204" s="24">
        <f t="shared" si="15"/>
        <v>0</v>
      </c>
      <c r="L204" s="24">
        <f t="shared" si="15"/>
        <v>0</v>
      </c>
    </row>
    <row r="205" spans="1:12" x14ac:dyDescent="0.45">
      <c r="A205" s="15"/>
      <c r="B205" s="15"/>
      <c r="C205" s="24">
        <f t="shared" si="12"/>
        <v>0</v>
      </c>
      <c r="D205" s="24">
        <f t="shared" si="12"/>
        <v>0</v>
      </c>
      <c r="E205" s="8"/>
      <c r="F205" s="8"/>
      <c r="G205" s="24">
        <f t="shared" si="13"/>
        <v>0</v>
      </c>
      <c r="H205" s="24">
        <f t="shared" si="14"/>
        <v>0</v>
      </c>
      <c r="I205" s="15"/>
      <c r="J205" s="15"/>
      <c r="K205" s="24">
        <f t="shared" si="15"/>
        <v>0</v>
      </c>
      <c r="L205" s="24">
        <f t="shared" si="15"/>
        <v>0</v>
      </c>
    </row>
    <row r="206" spans="1:12" x14ac:dyDescent="0.45">
      <c r="A206" s="15"/>
      <c r="B206" s="15"/>
      <c r="C206" s="24">
        <f t="shared" si="12"/>
        <v>0</v>
      </c>
      <c r="D206" s="24">
        <f t="shared" si="12"/>
        <v>0</v>
      </c>
      <c r="E206" s="8"/>
      <c r="F206" s="8"/>
      <c r="G206" s="24">
        <f t="shared" si="13"/>
        <v>0</v>
      </c>
      <c r="H206" s="24">
        <f t="shared" si="14"/>
        <v>0</v>
      </c>
      <c r="I206" s="15"/>
      <c r="J206" s="15"/>
      <c r="K206" s="24">
        <f t="shared" si="15"/>
        <v>0</v>
      </c>
      <c r="L206" s="24">
        <f t="shared" si="15"/>
        <v>0</v>
      </c>
    </row>
    <row r="207" spans="1:12" x14ac:dyDescent="0.45">
      <c r="A207" s="15"/>
      <c r="B207" s="15"/>
      <c r="C207" s="24">
        <f t="shared" si="12"/>
        <v>0</v>
      </c>
      <c r="D207" s="24">
        <f t="shared" si="12"/>
        <v>0</v>
      </c>
      <c r="E207" s="8"/>
      <c r="F207" s="8"/>
      <c r="G207" s="24">
        <f t="shared" si="13"/>
        <v>0</v>
      </c>
      <c r="H207" s="24">
        <f t="shared" si="14"/>
        <v>0</v>
      </c>
      <c r="I207" s="15"/>
      <c r="J207" s="15"/>
      <c r="K207" s="24">
        <f t="shared" si="15"/>
        <v>0</v>
      </c>
      <c r="L207" s="24">
        <f t="shared" si="15"/>
        <v>0</v>
      </c>
    </row>
    <row r="208" spans="1:12" x14ac:dyDescent="0.45">
      <c r="A208" s="15"/>
      <c r="B208" s="15"/>
      <c r="C208" s="24">
        <f t="shared" si="12"/>
        <v>0</v>
      </c>
      <c r="D208" s="24">
        <f t="shared" si="12"/>
        <v>0</v>
      </c>
      <c r="E208" s="8"/>
      <c r="F208" s="8"/>
      <c r="G208" s="24">
        <f t="shared" si="13"/>
        <v>0</v>
      </c>
      <c r="H208" s="24">
        <f t="shared" si="14"/>
        <v>0</v>
      </c>
      <c r="I208" s="15"/>
      <c r="J208" s="15"/>
      <c r="K208" s="24">
        <f t="shared" si="15"/>
        <v>0</v>
      </c>
      <c r="L208" s="24">
        <f t="shared" si="15"/>
        <v>0</v>
      </c>
    </row>
    <row r="209" spans="1:12" x14ac:dyDescent="0.45">
      <c r="A209" s="15"/>
      <c r="B209" s="15"/>
      <c r="C209" s="24">
        <f t="shared" si="12"/>
        <v>0</v>
      </c>
      <c r="D209" s="24">
        <f t="shared" si="12"/>
        <v>0</v>
      </c>
      <c r="E209" s="8"/>
      <c r="F209" s="8"/>
      <c r="G209" s="24">
        <f t="shared" si="13"/>
        <v>0</v>
      </c>
      <c r="H209" s="24">
        <f t="shared" si="14"/>
        <v>0</v>
      </c>
      <c r="I209" s="15"/>
      <c r="J209" s="15"/>
      <c r="K209" s="24">
        <f t="shared" si="15"/>
        <v>0</v>
      </c>
      <c r="L209" s="24">
        <f t="shared" si="15"/>
        <v>0</v>
      </c>
    </row>
    <row r="210" spans="1:12" x14ac:dyDescent="0.45">
      <c r="A210" s="15"/>
      <c r="B210" s="15"/>
      <c r="C210" s="24">
        <f t="shared" si="12"/>
        <v>0</v>
      </c>
      <c r="D210" s="24">
        <f t="shared" si="12"/>
        <v>0</v>
      </c>
      <c r="E210" s="8"/>
      <c r="F210" s="8"/>
      <c r="G210" s="24">
        <f t="shared" si="13"/>
        <v>0</v>
      </c>
      <c r="H210" s="24">
        <f t="shared" si="14"/>
        <v>0</v>
      </c>
      <c r="I210" s="15"/>
      <c r="J210" s="15"/>
      <c r="K210" s="24">
        <f t="shared" si="15"/>
        <v>0</v>
      </c>
      <c r="L210" s="24">
        <f t="shared" si="15"/>
        <v>0</v>
      </c>
    </row>
    <row r="211" spans="1:12" x14ac:dyDescent="0.45">
      <c r="A211" s="15"/>
      <c r="B211" s="15"/>
      <c r="C211" s="24">
        <f t="shared" si="12"/>
        <v>0</v>
      </c>
      <c r="D211" s="24">
        <f t="shared" si="12"/>
        <v>0</v>
      </c>
      <c r="E211" s="8"/>
      <c r="F211" s="8"/>
      <c r="G211" s="24">
        <f t="shared" si="13"/>
        <v>0</v>
      </c>
      <c r="H211" s="24">
        <f t="shared" si="14"/>
        <v>0</v>
      </c>
      <c r="I211" s="15"/>
      <c r="J211" s="15"/>
      <c r="K211" s="24">
        <f t="shared" si="15"/>
        <v>0</v>
      </c>
      <c r="L211" s="24">
        <f t="shared" si="15"/>
        <v>0</v>
      </c>
    </row>
    <row r="212" spans="1:12" x14ac:dyDescent="0.45">
      <c r="A212" s="15"/>
      <c r="B212" s="15"/>
      <c r="C212" s="24">
        <f t="shared" si="12"/>
        <v>0</v>
      </c>
      <c r="D212" s="24">
        <f t="shared" si="12"/>
        <v>0</v>
      </c>
      <c r="E212" s="8"/>
      <c r="F212" s="8"/>
      <c r="G212" s="24">
        <f t="shared" si="13"/>
        <v>0</v>
      </c>
      <c r="H212" s="24">
        <f t="shared" si="14"/>
        <v>0</v>
      </c>
      <c r="I212" s="15"/>
      <c r="J212" s="15"/>
      <c r="K212" s="24">
        <f t="shared" si="15"/>
        <v>0</v>
      </c>
      <c r="L212" s="24">
        <f t="shared" si="15"/>
        <v>0</v>
      </c>
    </row>
    <row r="213" spans="1:12" x14ac:dyDescent="0.45">
      <c r="A213" s="15"/>
      <c r="B213" s="15"/>
      <c r="C213" s="24">
        <f t="shared" si="12"/>
        <v>0</v>
      </c>
      <c r="D213" s="24">
        <f t="shared" si="12"/>
        <v>0</v>
      </c>
      <c r="E213" s="8"/>
      <c r="F213" s="8"/>
      <c r="G213" s="24">
        <f t="shared" si="13"/>
        <v>0</v>
      </c>
      <c r="H213" s="24">
        <f t="shared" si="14"/>
        <v>0</v>
      </c>
      <c r="I213" s="15"/>
      <c r="J213" s="15"/>
      <c r="K213" s="24">
        <f t="shared" si="15"/>
        <v>0</v>
      </c>
      <c r="L213" s="24">
        <f t="shared" si="15"/>
        <v>0</v>
      </c>
    </row>
    <row r="214" spans="1:12" x14ac:dyDescent="0.45">
      <c r="A214" s="15"/>
      <c r="B214" s="15"/>
      <c r="C214" s="24">
        <f t="shared" si="12"/>
        <v>0</v>
      </c>
      <c r="D214" s="24">
        <f t="shared" si="12"/>
        <v>0</v>
      </c>
      <c r="E214" s="8"/>
      <c r="F214" s="8"/>
      <c r="G214" s="24">
        <f t="shared" si="13"/>
        <v>0</v>
      </c>
      <c r="H214" s="24">
        <f t="shared" si="14"/>
        <v>0</v>
      </c>
      <c r="I214" s="15"/>
      <c r="J214" s="15"/>
      <c r="K214" s="24">
        <f t="shared" si="15"/>
        <v>0</v>
      </c>
      <c r="L214" s="24">
        <f t="shared" si="15"/>
        <v>0</v>
      </c>
    </row>
    <row r="215" spans="1:12" x14ac:dyDescent="0.45">
      <c r="A215" s="15"/>
      <c r="B215" s="15"/>
      <c r="C215" s="24">
        <f t="shared" si="12"/>
        <v>0</v>
      </c>
      <c r="D215" s="24">
        <f t="shared" si="12"/>
        <v>0</v>
      </c>
      <c r="E215" s="8"/>
      <c r="F215" s="8"/>
      <c r="G215" s="24">
        <f t="shared" si="13"/>
        <v>0</v>
      </c>
      <c r="H215" s="24">
        <f t="shared" si="14"/>
        <v>0</v>
      </c>
      <c r="I215" s="15"/>
      <c r="J215" s="15"/>
      <c r="K215" s="24">
        <f t="shared" si="15"/>
        <v>0</v>
      </c>
      <c r="L215" s="24">
        <f t="shared" si="15"/>
        <v>0</v>
      </c>
    </row>
    <row r="216" spans="1:12" x14ac:dyDescent="0.45">
      <c r="A216" s="15"/>
      <c r="B216" s="15"/>
      <c r="C216" s="24">
        <f t="shared" si="12"/>
        <v>0</v>
      </c>
      <c r="D216" s="24">
        <f t="shared" si="12"/>
        <v>0</v>
      </c>
      <c r="E216" s="8"/>
      <c r="F216" s="8"/>
      <c r="G216" s="24">
        <f t="shared" si="13"/>
        <v>0</v>
      </c>
      <c r="H216" s="24">
        <f t="shared" si="14"/>
        <v>0</v>
      </c>
      <c r="I216" s="15"/>
      <c r="J216" s="15"/>
      <c r="K216" s="24">
        <f t="shared" si="15"/>
        <v>0</v>
      </c>
      <c r="L216" s="24">
        <f t="shared" si="15"/>
        <v>0</v>
      </c>
    </row>
    <row r="217" spans="1:12" x14ac:dyDescent="0.45">
      <c r="A217" s="15"/>
      <c r="B217" s="15"/>
      <c r="C217" s="24">
        <f t="shared" si="12"/>
        <v>0</v>
      </c>
      <c r="D217" s="24">
        <f t="shared" si="12"/>
        <v>0</v>
      </c>
      <c r="E217" s="8"/>
      <c r="F217" s="8"/>
      <c r="G217" s="24">
        <f t="shared" si="13"/>
        <v>0</v>
      </c>
      <c r="H217" s="24">
        <f t="shared" si="14"/>
        <v>0</v>
      </c>
      <c r="I217" s="15"/>
      <c r="J217" s="15"/>
      <c r="K217" s="24">
        <f t="shared" si="15"/>
        <v>0</v>
      </c>
      <c r="L217" s="24">
        <f t="shared" si="15"/>
        <v>0</v>
      </c>
    </row>
    <row r="218" spans="1:12" x14ac:dyDescent="0.45">
      <c r="A218" s="15"/>
      <c r="B218" s="15"/>
      <c r="C218" s="24">
        <f t="shared" si="12"/>
        <v>0</v>
      </c>
      <c r="D218" s="24">
        <f t="shared" si="12"/>
        <v>0</v>
      </c>
      <c r="E218" s="8"/>
      <c r="F218" s="8"/>
      <c r="G218" s="24">
        <f t="shared" si="13"/>
        <v>0</v>
      </c>
      <c r="H218" s="24">
        <f t="shared" si="14"/>
        <v>0</v>
      </c>
      <c r="I218" s="15"/>
      <c r="J218" s="15"/>
      <c r="K218" s="24">
        <f t="shared" si="15"/>
        <v>0</v>
      </c>
      <c r="L218" s="24">
        <f t="shared" si="15"/>
        <v>0</v>
      </c>
    </row>
    <row r="219" spans="1:12" x14ac:dyDescent="0.45">
      <c r="A219" s="15"/>
      <c r="B219" s="15"/>
      <c r="C219" s="24">
        <f t="shared" si="12"/>
        <v>0</v>
      </c>
      <c r="D219" s="24">
        <f t="shared" si="12"/>
        <v>0</v>
      </c>
      <c r="E219" s="8"/>
      <c r="F219" s="8"/>
      <c r="G219" s="24">
        <f t="shared" si="13"/>
        <v>0</v>
      </c>
      <c r="H219" s="24">
        <f t="shared" si="14"/>
        <v>0</v>
      </c>
      <c r="I219" s="15"/>
      <c r="J219" s="15"/>
      <c r="K219" s="24">
        <f t="shared" si="15"/>
        <v>0</v>
      </c>
      <c r="L219" s="24">
        <f t="shared" si="15"/>
        <v>0</v>
      </c>
    </row>
    <row r="220" spans="1:12" x14ac:dyDescent="0.45">
      <c r="A220" s="15"/>
      <c r="B220" s="15"/>
      <c r="C220" s="24">
        <f t="shared" si="12"/>
        <v>0</v>
      </c>
      <c r="D220" s="24">
        <f t="shared" si="12"/>
        <v>0</v>
      </c>
      <c r="E220" s="8"/>
      <c r="F220" s="8"/>
      <c r="G220" s="24">
        <f t="shared" si="13"/>
        <v>0</v>
      </c>
      <c r="H220" s="24">
        <f t="shared" si="14"/>
        <v>0</v>
      </c>
      <c r="I220" s="15"/>
      <c r="J220" s="15"/>
      <c r="K220" s="24">
        <f t="shared" si="15"/>
        <v>0</v>
      </c>
      <c r="L220" s="24">
        <f t="shared" si="15"/>
        <v>0</v>
      </c>
    </row>
    <row r="221" spans="1:12" x14ac:dyDescent="0.45">
      <c r="A221" s="15"/>
      <c r="B221" s="15"/>
      <c r="C221" s="24">
        <f t="shared" si="12"/>
        <v>0</v>
      </c>
      <c r="D221" s="24">
        <f t="shared" si="12"/>
        <v>0</v>
      </c>
      <c r="E221" s="8"/>
      <c r="F221" s="8"/>
      <c r="G221" s="24">
        <f t="shared" si="13"/>
        <v>0</v>
      </c>
      <c r="H221" s="24">
        <f t="shared" si="14"/>
        <v>0</v>
      </c>
      <c r="I221" s="15"/>
      <c r="J221" s="15"/>
      <c r="K221" s="24">
        <f t="shared" si="15"/>
        <v>0</v>
      </c>
      <c r="L221" s="24">
        <f t="shared" si="15"/>
        <v>0</v>
      </c>
    </row>
    <row r="222" spans="1:12" x14ac:dyDescent="0.45">
      <c r="A222" s="15"/>
      <c r="B222" s="15"/>
      <c r="C222" s="24">
        <f t="shared" si="12"/>
        <v>0</v>
      </c>
      <c r="D222" s="24">
        <f t="shared" si="12"/>
        <v>0</v>
      </c>
      <c r="E222" s="8"/>
      <c r="F222" s="8"/>
      <c r="G222" s="24">
        <f t="shared" si="13"/>
        <v>0</v>
      </c>
      <c r="H222" s="24">
        <f t="shared" si="14"/>
        <v>0</v>
      </c>
      <c r="I222" s="15"/>
      <c r="J222" s="15"/>
      <c r="K222" s="24">
        <f t="shared" si="15"/>
        <v>0</v>
      </c>
      <c r="L222" s="24">
        <f t="shared" si="15"/>
        <v>0</v>
      </c>
    </row>
    <row r="223" spans="1:12" x14ac:dyDescent="0.45">
      <c r="A223" s="15"/>
      <c r="B223" s="15"/>
      <c r="C223" s="24">
        <f t="shared" si="12"/>
        <v>0</v>
      </c>
      <c r="D223" s="24">
        <f t="shared" si="12"/>
        <v>0</v>
      </c>
      <c r="E223" s="8"/>
      <c r="F223" s="8"/>
      <c r="G223" s="24">
        <f t="shared" si="13"/>
        <v>0</v>
      </c>
      <c r="H223" s="24">
        <f t="shared" si="14"/>
        <v>0</v>
      </c>
      <c r="I223" s="15"/>
      <c r="J223" s="15"/>
      <c r="K223" s="24">
        <f t="shared" si="15"/>
        <v>0</v>
      </c>
      <c r="L223" s="24">
        <f t="shared" si="15"/>
        <v>0</v>
      </c>
    </row>
    <row r="224" spans="1:12" x14ac:dyDescent="0.45">
      <c r="A224" s="15"/>
      <c r="B224" s="15"/>
      <c r="C224" s="24">
        <f t="shared" si="12"/>
        <v>0</v>
      </c>
      <c r="D224" s="24">
        <f t="shared" si="12"/>
        <v>0</v>
      </c>
      <c r="E224" s="8"/>
      <c r="F224" s="8"/>
      <c r="G224" s="24">
        <f t="shared" si="13"/>
        <v>0</v>
      </c>
      <c r="H224" s="24">
        <f t="shared" si="14"/>
        <v>0</v>
      </c>
      <c r="I224" s="15"/>
      <c r="J224" s="15"/>
      <c r="K224" s="24">
        <f t="shared" si="15"/>
        <v>0</v>
      </c>
      <c r="L224" s="24">
        <f t="shared" si="15"/>
        <v>0</v>
      </c>
    </row>
    <row r="225" spans="1:12" x14ac:dyDescent="0.45">
      <c r="A225" s="15"/>
      <c r="B225" s="15"/>
      <c r="C225" s="24">
        <f t="shared" si="12"/>
        <v>0</v>
      </c>
      <c r="D225" s="24">
        <f t="shared" si="12"/>
        <v>0</v>
      </c>
      <c r="E225" s="8"/>
      <c r="F225" s="8"/>
      <c r="G225" s="24">
        <f t="shared" si="13"/>
        <v>0</v>
      </c>
      <c r="H225" s="24">
        <f t="shared" si="14"/>
        <v>0</v>
      </c>
      <c r="I225" s="15"/>
      <c r="J225" s="15"/>
      <c r="K225" s="24">
        <f t="shared" si="15"/>
        <v>0</v>
      </c>
      <c r="L225" s="24">
        <f t="shared" si="15"/>
        <v>0</v>
      </c>
    </row>
    <row r="226" spans="1:12" x14ac:dyDescent="0.45">
      <c r="A226" s="15"/>
      <c r="B226" s="15"/>
      <c r="C226" s="24">
        <f t="shared" si="12"/>
        <v>0</v>
      </c>
      <c r="D226" s="24">
        <f t="shared" si="12"/>
        <v>0</v>
      </c>
      <c r="E226" s="8"/>
      <c r="F226" s="8"/>
      <c r="G226" s="24">
        <f t="shared" si="13"/>
        <v>0</v>
      </c>
      <c r="H226" s="24">
        <f t="shared" si="14"/>
        <v>0</v>
      </c>
      <c r="I226" s="15"/>
      <c r="J226" s="15"/>
      <c r="K226" s="24">
        <f t="shared" si="15"/>
        <v>0</v>
      </c>
      <c r="L226" s="24">
        <f t="shared" si="15"/>
        <v>0</v>
      </c>
    </row>
    <row r="227" spans="1:12" x14ac:dyDescent="0.45">
      <c r="A227" s="15"/>
      <c r="B227" s="15"/>
      <c r="C227" s="24">
        <f t="shared" si="12"/>
        <v>0</v>
      </c>
      <c r="D227" s="24">
        <f t="shared" si="12"/>
        <v>0</v>
      </c>
      <c r="E227" s="8"/>
      <c r="F227" s="8"/>
      <c r="G227" s="24">
        <f t="shared" si="13"/>
        <v>0</v>
      </c>
      <c r="H227" s="24">
        <f t="shared" si="14"/>
        <v>0</v>
      </c>
      <c r="I227" s="15"/>
      <c r="J227" s="15"/>
      <c r="K227" s="24">
        <f t="shared" si="15"/>
        <v>0</v>
      </c>
      <c r="L227" s="24">
        <f t="shared" si="15"/>
        <v>0</v>
      </c>
    </row>
    <row r="228" spans="1:12" x14ac:dyDescent="0.45">
      <c r="A228" s="15"/>
      <c r="B228" s="15"/>
      <c r="C228" s="24">
        <f t="shared" si="12"/>
        <v>0</v>
      </c>
      <c r="D228" s="24">
        <f t="shared" si="12"/>
        <v>0</v>
      </c>
      <c r="E228" s="8"/>
      <c r="F228" s="8"/>
      <c r="G228" s="24">
        <f t="shared" si="13"/>
        <v>0</v>
      </c>
      <c r="H228" s="24">
        <f t="shared" si="14"/>
        <v>0</v>
      </c>
      <c r="I228" s="15"/>
      <c r="J228" s="15"/>
      <c r="K228" s="24">
        <f t="shared" si="15"/>
        <v>0</v>
      </c>
      <c r="L228" s="24">
        <f t="shared" si="15"/>
        <v>0</v>
      </c>
    </row>
    <row r="229" spans="1:12" x14ac:dyDescent="0.45">
      <c r="A229" s="15"/>
      <c r="B229" s="15"/>
      <c r="C229" s="24">
        <f t="shared" si="12"/>
        <v>0</v>
      </c>
      <c r="D229" s="24">
        <f t="shared" si="12"/>
        <v>0</v>
      </c>
      <c r="E229" s="8"/>
      <c r="F229" s="8"/>
      <c r="G229" s="24">
        <f t="shared" si="13"/>
        <v>0</v>
      </c>
      <c r="H229" s="24">
        <f t="shared" si="14"/>
        <v>0</v>
      </c>
      <c r="I229" s="15"/>
      <c r="J229" s="15"/>
      <c r="K229" s="24">
        <f t="shared" si="15"/>
        <v>0</v>
      </c>
      <c r="L229" s="24">
        <f t="shared" si="15"/>
        <v>0</v>
      </c>
    </row>
    <row r="230" spans="1:12" x14ac:dyDescent="0.45">
      <c r="A230" s="15"/>
      <c r="B230" s="15"/>
      <c r="C230" s="24">
        <f t="shared" si="12"/>
        <v>0</v>
      </c>
      <c r="D230" s="24">
        <f t="shared" si="12"/>
        <v>0</v>
      </c>
      <c r="E230" s="8"/>
      <c r="F230" s="8"/>
      <c r="G230" s="24">
        <f t="shared" si="13"/>
        <v>0</v>
      </c>
      <c r="H230" s="24">
        <f t="shared" si="14"/>
        <v>0</v>
      </c>
      <c r="I230" s="15"/>
      <c r="J230" s="15"/>
      <c r="K230" s="24">
        <f t="shared" si="15"/>
        <v>0</v>
      </c>
      <c r="L230" s="24">
        <f t="shared" si="15"/>
        <v>0</v>
      </c>
    </row>
    <row r="231" spans="1:12" x14ac:dyDescent="0.45">
      <c r="A231" s="15"/>
      <c r="B231" s="15"/>
      <c r="C231" s="24">
        <f t="shared" si="12"/>
        <v>0</v>
      </c>
      <c r="D231" s="24">
        <f t="shared" si="12"/>
        <v>0</v>
      </c>
      <c r="E231" s="8"/>
      <c r="F231" s="8"/>
      <c r="G231" s="24">
        <f t="shared" si="13"/>
        <v>0</v>
      </c>
      <c r="H231" s="24">
        <f t="shared" si="14"/>
        <v>0</v>
      </c>
      <c r="I231" s="15"/>
      <c r="J231" s="15"/>
      <c r="K231" s="24">
        <f t="shared" si="15"/>
        <v>0</v>
      </c>
      <c r="L231" s="24">
        <f t="shared" si="15"/>
        <v>0</v>
      </c>
    </row>
    <row r="232" spans="1:12" x14ac:dyDescent="0.45">
      <c r="A232" s="15"/>
      <c r="B232" s="15"/>
      <c r="C232" s="24">
        <f t="shared" si="12"/>
        <v>0</v>
      </c>
      <c r="D232" s="24">
        <f t="shared" si="12"/>
        <v>0</v>
      </c>
      <c r="E232" s="8"/>
      <c r="F232" s="8"/>
      <c r="G232" s="24">
        <f t="shared" si="13"/>
        <v>0</v>
      </c>
      <c r="H232" s="24">
        <f t="shared" si="14"/>
        <v>0</v>
      </c>
      <c r="I232" s="15"/>
      <c r="J232" s="15"/>
      <c r="K232" s="24">
        <f t="shared" si="15"/>
        <v>0</v>
      </c>
      <c r="L232" s="24">
        <f t="shared" si="15"/>
        <v>0</v>
      </c>
    </row>
    <row r="233" spans="1:12" x14ac:dyDescent="0.45">
      <c r="A233" s="15"/>
      <c r="B233" s="15"/>
      <c r="C233" s="24">
        <f t="shared" si="12"/>
        <v>0</v>
      </c>
      <c r="D233" s="24">
        <f t="shared" si="12"/>
        <v>0</v>
      </c>
      <c r="E233" s="8"/>
      <c r="F233" s="8"/>
      <c r="G233" s="24">
        <f t="shared" si="13"/>
        <v>0</v>
      </c>
      <c r="H233" s="24">
        <f t="shared" si="14"/>
        <v>0</v>
      </c>
      <c r="I233" s="15"/>
      <c r="J233" s="15"/>
      <c r="K233" s="24">
        <f t="shared" si="15"/>
        <v>0</v>
      </c>
      <c r="L233" s="24">
        <f t="shared" si="15"/>
        <v>0</v>
      </c>
    </row>
    <row r="234" spans="1:12" x14ac:dyDescent="0.45">
      <c r="A234" s="15"/>
      <c r="B234" s="15"/>
      <c r="C234" s="24">
        <f t="shared" si="12"/>
        <v>0</v>
      </c>
      <c r="D234" s="24">
        <f t="shared" si="12"/>
        <v>0</v>
      </c>
      <c r="E234" s="8"/>
      <c r="F234" s="8"/>
      <c r="G234" s="24">
        <f t="shared" si="13"/>
        <v>0</v>
      </c>
      <c r="H234" s="24">
        <f t="shared" si="14"/>
        <v>0</v>
      </c>
      <c r="I234" s="15"/>
      <c r="J234" s="15"/>
      <c r="K234" s="24">
        <f t="shared" si="15"/>
        <v>0</v>
      </c>
      <c r="L234" s="24">
        <f t="shared" si="15"/>
        <v>0</v>
      </c>
    </row>
    <row r="235" spans="1:12" x14ac:dyDescent="0.45">
      <c r="A235" s="15"/>
      <c r="B235" s="15"/>
      <c r="C235" s="24">
        <f t="shared" si="12"/>
        <v>0</v>
      </c>
      <c r="D235" s="24">
        <f t="shared" si="12"/>
        <v>0</v>
      </c>
      <c r="E235" s="8"/>
      <c r="F235" s="8"/>
      <c r="G235" s="24">
        <f t="shared" si="13"/>
        <v>0</v>
      </c>
      <c r="H235" s="24">
        <f t="shared" si="14"/>
        <v>0</v>
      </c>
      <c r="I235" s="15"/>
      <c r="J235" s="15"/>
      <c r="K235" s="24">
        <f t="shared" si="15"/>
        <v>0</v>
      </c>
      <c r="L235" s="24">
        <f t="shared" si="15"/>
        <v>0</v>
      </c>
    </row>
    <row r="236" spans="1:12" x14ac:dyDescent="0.45">
      <c r="A236" s="15"/>
      <c r="B236" s="15"/>
      <c r="C236" s="24">
        <f t="shared" si="12"/>
        <v>0</v>
      </c>
      <c r="D236" s="24">
        <f t="shared" si="12"/>
        <v>0</v>
      </c>
      <c r="E236" s="8"/>
      <c r="F236" s="8"/>
      <c r="G236" s="24">
        <f t="shared" si="13"/>
        <v>0</v>
      </c>
      <c r="H236" s="24">
        <f t="shared" si="14"/>
        <v>0</v>
      </c>
      <c r="I236" s="15"/>
      <c r="J236" s="15"/>
      <c r="K236" s="24">
        <f t="shared" si="15"/>
        <v>0</v>
      </c>
      <c r="L236" s="24">
        <f t="shared" si="15"/>
        <v>0</v>
      </c>
    </row>
    <row r="237" spans="1:12" x14ac:dyDescent="0.45">
      <c r="A237" s="15"/>
      <c r="B237" s="15"/>
      <c r="C237" s="24">
        <f t="shared" si="12"/>
        <v>0</v>
      </c>
      <c r="D237" s="24">
        <f t="shared" si="12"/>
        <v>0</v>
      </c>
      <c r="E237" s="8"/>
      <c r="F237" s="8"/>
      <c r="G237" s="24">
        <f t="shared" si="13"/>
        <v>0</v>
      </c>
      <c r="H237" s="24">
        <f t="shared" si="14"/>
        <v>0</v>
      </c>
      <c r="I237" s="15"/>
      <c r="J237" s="15"/>
      <c r="K237" s="24">
        <f t="shared" si="15"/>
        <v>0</v>
      </c>
      <c r="L237" s="24">
        <f t="shared" si="15"/>
        <v>0</v>
      </c>
    </row>
    <row r="238" spans="1:12" x14ac:dyDescent="0.45">
      <c r="A238" s="15"/>
      <c r="B238" s="15"/>
      <c r="C238" s="24">
        <f t="shared" si="12"/>
        <v>0</v>
      </c>
      <c r="D238" s="24">
        <f t="shared" si="12"/>
        <v>0</v>
      </c>
      <c r="E238" s="8"/>
      <c r="F238" s="8"/>
      <c r="G238" s="24">
        <f t="shared" si="13"/>
        <v>0</v>
      </c>
      <c r="H238" s="24">
        <f t="shared" si="14"/>
        <v>0</v>
      </c>
      <c r="I238" s="15"/>
      <c r="J238" s="15"/>
      <c r="K238" s="24">
        <f t="shared" si="15"/>
        <v>0</v>
      </c>
      <c r="L238" s="24">
        <f t="shared" si="15"/>
        <v>0</v>
      </c>
    </row>
    <row r="239" spans="1:12" x14ac:dyDescent="0.45">
      <c r="A239" s="15"/>
      <c r="B239" s="15"/>
      <c r="C239" s="24">
        <f t="shared" si="12"/>
        <v>0</v>
      </c>
      <c r="D239" s="24">
        <f t="shared" si="12"/>
        <v>0</v>
      </c>
      <c r="E239" s="8"/>
      <c r="F239" s="8"/>
      <c r="G239" s="24">
        <f t="shared" si="13"/>
        <v>0</v>
      </c>
      <c r="H239" s="24">
        <f t="shared" si="14"/>
        <v>0</v>
      </c>
      <c r="I239" s="15"/>
      <c r="J239" s="15"/>
      <c r="K239" s="24">
        <f t="shared" si="15"/>
        <v>0</v>
      </c>
      <c r="L239" s="24">
        <f t="shared" si="15"/>
        <v>0</v>
      </c>
    </row>
    <row r="240" spans="1:12" x14ac:dyDescent="0.45">
      <c r="A240" s="15"/>
      <c r="B240" s="15"/>
      <c r="C240" s="24">
        <f t="shared" si="12"/>
        <v>0</v>
      </c>
      <c r="D240" s="24">
        <f t="shared" si="12"/>
        <v>0</v>
      </c>
      <c r="E240" s="8"/>
      <c r="F240" s="8"/>
      <c r="G240" s="24">
        <f t="shared" si="13"/>
        <v>0</v>
      </c>
      <c r="H240" s="24">
        <f t="shared" si="14"/>
        <v>0</v>
      </c>
      <c r="I240" s="15"/>
      <c r="J240" s="15"/>
      <c r="K240" s="24">
        <f t="shared" si="15"/>
        <v>0</v>
      </c>
      <c r="L240" s="24">
        <f t="shared" si="15"/>
        <v>0</v>
      </c>
    </row>
    <row r="241" spans="1:12" x14ac:dyDescent="0.45">
      <c r="A241" s="15"/>
      <c r="B241" s="15"/>
      <c r="C241" s="24">
        <f t="shared" si="12"/>
        <v>0</v>
      </c>
      <c r="D241" s="24">
        <f t="shared" si="12"/>
        <v>0</v>
      </c>
      <c r="E241" s="8"/>
      <c r="F241" s="8"/>
      <c r="G241" s="24">
        <f t="shared" si="13"/>
        <v>0</v>
      </c>
      <c r="H241" s="24">
        <f t="shared" si="14"/>
        <v>0</v>
      </c>
      <c r="I241" s="15"/>
      <c r="J241" s="15"/>
      <c r="K241" s="24">
        <f t="shared" si="15"/>
        <v>0</v>
      </c>
      <c r="L241" s="24">
        <f t="shared" si="15"/>
        <v>0</v>
      </c>
    </row>
    <row r="242" spans="1:12" x14ac:dyDescent="0.45">
      <c r="A242" s="15"/>
      <c r="B242" s="15"/>
      <c r="C242" s="24">
        <f t="shared" si="12"/>
        <v>0</v>
      </c>
      <c r="D242" s="24">
        <f t="shared" si="12"/>
        <v>0</v>
      </c>
      <c r="E242" s="8"/>
      <c r="F242" s="8"/>
      <c r="G242" s="24">
        <f t="shared" si="13"/>
        <v>0</v>
      </c>
      <c r="H242" s="24">
        <f t="shared" si="14"/>
        <v>0</v>
      </c>
      <c r="I242" s="15"/>
      <c r="J242" s="15"/>
      <c r="K242" s="24">
        <f t="shared" si="15"/>
        <v>0</v>
      </c>
      <c r="L242" s="24">
        <f t="shared" si="15"/>
        <v>0</v>
      </c>
    </row>
    <row r="243" spans="1:12" x14ac:dyDescent="0.45">
      <c r="A243" s="15"/>
      <c r="B243" s="15"/>
      <c r="C243" s="24">
        <f t="shared" si="12"/>
        <v>0</v>
      </c>
      <c r="D243" s="24">
        <f t="shared" si="12"/>
        <v>0</v>
      </c>
      <c r="E243" s="8"/>
      <c r="F243" s="8"/>
      <c r="G243" s="24">
        <f t="shared" si="13"/>
        <v>0</v>
      </c>
      <c r="H243" s="24">
        <f t="shared" si="14"/>
        <v>0</v>
      </c>
      <c r="I243" s="15"/>
      <c r="J243" s="15"/>
      <c r="K243" s="24">
        <f t="shared" si="15"/>
        <v>0</v>
      </c>
      <c r="L243" s="24">
        <f t="shared" si="15"/>
        <v>0</v>
      </c>
    </row>
    <row r="244" spans="1:12" x14ac:dyDescent="0.45">
      <c r="A244" s="15"/>
      <c r="B244" s="15"/>
      <c r="C244" s="24">
        <f t="shared" si="12"/>
        <v>0</v>
      </c>
      <c r="D244" s="24">
        <f t="shared" si="12"/>
        <v>0</v>
      </c>
      <c r="E244" s="8"/>
      <c r="F244" s="8"/>
      <c r="G244" s="24">
        <f t="shared" si="13"/>
        <v>0</v>
      </c>
      <c r="H244" s="24">
        <f t="shared" si="14"/>
        <v>0</v>
      </c>
      <c r="I244" s="15"/>
      <c r="J244" s="15"/>
      <c r="K244" s="24">
        <f t="shared" si="15"/>
        <v>0</v>
      </c>
      <c r="L244" s="24">
        <f t="shared" si="15"/>
        <v>0</v>
      </c>
    </row>
    <row r="245" spans="1:12" x14ac:dyDescent="0.45">
      <c r="A245" s="15"/>
      <c r="B245" s="15"/>
      <c r="C245" s="24">
        <f t="shared" si="12"/>
        <v>0</v>
      </c>
      <c r="D245" s="24">
        <f t="shared" si="12"/>
        <v>0</v>
      </c>
      <c r="E245" s="8"/>
      <c r="F245" s="8"/>
      <c r="G245" s="24">
        <f t="shared" si="13"/>
        <v>0</v>
      </c>
      <c r="H245" s="24">
        <f t="shared" si="14"/>
        <v>0</v>
      </c>
      <c r="I245" s="15"/>
      <c r="J245" s="15"/>
      <c r="K245" s="24">
        <f t="shared" si="15"/>
        <v>0</v>
      </c>
      <c r="L245" s="24">
        <f t="shared" si="15"/>
        <v>0</v>
      </c>
    </row>
    <row r="246" spans="1:12" x14ac:dyDescent="0.45">
      <c r="A246" s="15"/>
      <c r="B246" s="15"/>
      <c r="C246" s="24">
        <f t="shared" si="12"/>
        <v>0</v>
      </c>
      <c r="D246" s="24">
        <f t="shared" si="12"/>
        <v>0</v>
      </c>
      <c r="E246" s="8"/>
      <c r="F246" s="8"/>
      <c r="G246" s="24">
        <f t="shared" si="13"/>
        <v>0</v>
      </c>
      <c r="H246" s="24">
        <f t="shared" si="14"/>
        <v>0</v>
      </c>
      <c r="I246" s="15"/>
      <c r="J246" s="15"/>
      <c r="K246" s="24">
        <f t="shared" si="15"/>
        <v>0</v>
      </c>
      <c r="L246" s="24">
        <f t="shared" si="15"/>
        <v>0</v>
      </c>
    </row>
    <row r="247" spans="1:12" x14ac:dyDescent="0.45">
      <c r="A247" s="15"/>
      <c r="B247" s="15"/>
      <c r="C247" s="24">
        <f t="shared" si="12"/>
        <v>0</v>
      </c>
      <c r="D247" s="24">
        <f t="shared" si="12"/>
        <v>0</v>
      </c>
      <c r="E247" s="8"/>
      <c r="F247" s="8"/>
      <c r="G247" s="24">
        <f t="shared" si="13"/>
        <v>0</v>
      </c>
      <c r="H247" s="24">
        <f t="shared" si="14"/>
        <v>0</v>
      </c>
      <c r="I247" s="15"/>
      <c r="J247" s="15"/>
      <c r="K247" s="24">
        <f t="shared" si="15"/>
        <v>0</v>
      </c>
      <c r="L247" s="24">
        <f t="shared" si="15"/>
        <v>0</v>
      </c>
    </row>
    <row r="248" spans="1:12" x14ac:dyDescent="0.45">
      <c r="A248" s="15"/>
      <c r="B248" s="15"/>
      <c r="C248" s="24">
        <f t="shared" si="12"/>
        <v>0</v>
      </c>
      <c r="D248" s="24">
        <f t="shared" si="12"/>
        <v>0</v>
      </c>
      <c r="E248" s="8"/>
      <c r="F248" s="8"/>
      <c r="G248" s="24">
        <f t="shared" si="13"/>
        <v>0</v>
      </c>
      <c r="H248" s="24">
        <f t="shared" si="14"/>
        <v>0</v>
      </c>
      <c r="I248" s="15"/>
      <c r="J248" s="15"/>
      <c r="K248" s="24">
        <f t="shared" si="15"/>
        <v>0</v>
      </c>
      <c r="L248" s="24">
        <f t="shared" si="15"/>
        <v>0</v>
      </c>
    </row>
    <row r="249" spans="1:12" x14ac:dyDescent="0.45">
      <c r="A249" s="15"/>
      <c r="B249" s="15"/>
      <c r="C249" s="24">
        <f t="shared" si="12"/>
        <v>0</v>
      </c>
      <c r="D249" s="24">
        <f t="shared" si="12"/>
        <v>0</v>
      </c>
      <c r="E249" s="8"/>
      <c r="F249" s="8"/>
      <c r="G249" s="24">
        <f t="shared" si="13"/>
        <v>0</v>
      </c>
      <c r="H249" s="24">
        <f t="shared" si="14"/>
        <v>0</v>
      </c>
      <c r="I249" s="15"/>
      <c r="J249" s="15"/>
      <c r="K249" s="24">
        <f t="shared" si="15"/>
        <v>0</v>
      </c>
      <c r="L249" s="24">
        <f t="shared" si="15"/>
        <v>0</v>
      </c>
    </row>
    <row r="250" spans="1:12" x14ac:dyDescent="0.45">
      <c r="A250" s="15"/>
      <c r="B250" s="15"/>
      <c r="C250" s="24">
        <f t="shared" si="12"/>
        <v>0</v>
      </c>
      <c r="D250" s="24">
        <f t="shared" si="12"/>
        <v>0</v>
      </c>
      <c r="E250" s="8"/>
      <c r="F250" s="8"/>
      <c r="G250" s="24">
        <f t="shared" si="13"/>
        <v>0</v>
      </c>
      <c r="H250" s="24">
        <f t="shared" si="14"/>
        <v>0</v>
      </c>
      <c r="I250" s="15"/>
      <c r="J250" s="15"/>
      <c r="K250" s="24">
        <f t="shared" si="15"/>
        <v>0</v>
      </c>
      <c r="L250" s="24">
        <f t="shared" si="15"/>
        <v>0</v>
      </c>
    </row>
    <row r="251" spans="1:12" x14ac:dyDescent="0.45">
      <c r="A251" s="15"/>
      <c r="B251" s="15"/>
      <c r="C251" s="24">
        <f t="shared" si="12"/>
        <v>0</v>
      </c>
      <c r="D251" s="24">
        <f t="shared" si="12"/>
        <v>0</v>
      </c>
      <c r="E251" s="8"/>
      <c r="F251" s="8"/>
      <c r="G251" s="24">
        <f t="shared" si="13"/>
        <v>0</v>
      </c>
      <c r="H251" s="24">
        <f t="shared" si="14"/>
        <v>0</v>
      </c>
      <c r="I251" s="15"/>
      <c r="J251" s="15"/>
      <c r="K251" s="24">
        <f t="shared" si="15"/>
        <v>0</v>
      </c>
      <c r="L251" s="24">
        <f t="shared" si="15"/>
        <v>0</v>
      </c>
    </row>
    <row r="252" spans="1:12" x14ac:dyDescent="0.45">
      <c r="A252" s="15"/>
      <c r="B252" s="15"/>
      <c r="C252" s="24">
        <f t="shared" si="12"/>
        <v>0</v>
      </c>
      <c r="D252" s="24">
        <f t="shared" si="12"/>
        <v>0</v>
      </c>
      <c r="E252" s="8"/>
      <c r="F252" s="8"/>
      <c r="G252" s="24">
        <f t="shared" si="13"/>
        <v>0</v>
      </c>
      <c r="H252" s="24">
        <f t="shared" si="14"/>
        <v>0</v>
      </c>
      <c r="I252" s="15"/>
      <c r="J252" s="15"/>
      <c r="K252" s="24">
        <f t="shared" si="15"/>
        <v>0</v>
      </c>
      <c r="L252" s="24">
        <f t="shared" si="15"/>
        <v>0</v>
      </c>
    </row>
    <row r="253" spans="1:12" x14ac:dyDescent="0.45">
      <c r="A253" s="15"/>
      <c r="B253" s="15"/>
      <c r="C253" s="24">
        <f t="shared" si="12"/>
        <v>0</v>
      </c>
      <c r="D253" s="24">
        <f t="shared" si="12"/>
        <v>0</v>
      </c>
      <c r="E253" s="8"/>
      <c r="F253" s="8"/>
      <c r="G253" s="24">
        <f t="shared" si="13"/>
        <v>0</v>
      </c>
      <c r="H253" s="24">
        <f t="shared" si="14"/>
        <v>0</v>
      </c>
      <c r="I253" s="15"/>
      <c r="J253" s="15"/>
      <c r="K253" s="24">
        <f t="shared" si="15"/>
        <v>0</v>
      </c>
      <c r="L253" s="24">
        <f t="shared" si="15"/>
        <v>0</v>
      </c>
    </row>
    <row r="254" spans="1:12" x14ac:dyDescent="0.45">
      <c r="A254" s="15"/>
      <c r="B254" s="15"/>
      <c r="C254" s="24">
        <f t="shared" si="12"/>
        <v>0</v>
      </c>
      <c r="D254" s="24">
        <f t="shared" si="12"/>
        <v>0</v>
      </c>
      <c r="E254" s="8"/>
      <c r="F254" s="8"/>
      <c r="G254" s="24">
        <f t="shared" si="13"/>
        <v>0</v>
      </c>
      <c r="H254" s="24">
        <f t="shared" si="14"/>
        <v>0</v>
      </c>
      <c r="I254" s="15"/>
      <c r="J254" s="15"/>
      <c r="K254" s="24">
        <f t="shared" si="15"/>
        <v>0</v>
      </c>
      <c r="L254" s="24">
        <f t="shared" si="15"/>
        <v>0</v>
      </c>
    </row>
    <row r="255" spans="1:12" x14ac:dyDescent="0.45">
      <c r="A255" s="15"/>
      <c r="B255" s="15"/>
      <c r="C255" s="24">
        <f t="shared" si="12"/>
        <v>0</v>
      </c>
      <c r="D255" s="24">
        <f t="shared" si="12"/>
        <v>0</v>
      </c>
      <c r="E255" s="8"/>
      <c r="F255" s="8"/>
      <c r="G255" s="24">
        <f t="shared" si="13"/>
        <v>0</v>
      </c>
      <c r="H255" s="24">
        <f t="shared" si="14"/>
        <v>0</v>
      </c>
      <c r="I255" s="15"/>
      <c r="J255" s="15"/>
      <c r="K255" s="24">
        <f t="shared" si="15"/>
        <v>0</v>
      </c>
      <c r="L255" s="24">
        <f t="shared" si="15"/>
        <v>0</v>
      </c>
    </row>
    <row r="256" spans="1:12" x14ac:dyDescent="0.45">
      <c r="A256" s="15"/>
      <c r="B256" s="15"/>
      <c r="C256" s="24">
        <f t="shared" si="12"/>
        <v>0</v>
      </c>
      <c r="D256" s="24">
        <f t="shared" si="12"/>
        <v>0</v>
      </c>
      <c r="E256" s="8"/>
      <c r="F256" s="8"/>
      <c r="G256" s="24">
        <f t="shared" si="13"/>
        <v>0</v>
      </c>
      <c r="H256" s="24">
        <f t="shared" si="14"/>
        <v>0</v>
      </c>
      <c r="I256" s="15"/>
      <c r="J256" s="15"/>
      <c r="K256" s="24">
        <f t="shared" si="15"/>
        <v>0</v>
      </c>
      <c r="L256" s="24">
        <f t="shared" si="15"/>
        <v>0</v>
      </c>
    </row>
    <row r="257" spans="1:12" x14ac:dyDescent="0.45">
      <c r="A257" s="15"/>
      <c r="B257" s="15"/>
      <c r="C257" s="24">
        <f t="shared" si="12"/>
        <v>0</v>
      </c>
      <c r="D257" s="24">
        <f t="shared" si="12"/>
        <v>0</v>
      </c>
      <c r="E257" s="8"/>
      <c r="F257" s="8"/>
      <c r="G257" s="24">
        <f t="shared" si="13"/>
        <v>0</v>
      </c>
      <c r="H257" s="24">
        <f t="shared" si="14"/>
        <v>0</v>
      </c>
      <c r="I257" s="15"/>
      <c r="J257" s="15"/>
      <c r="K257" s="24">
        <f t="shared" si="15"/>
        <v>0</v>
      </c>
      <c r="L257" s="24">
        <f t="shared" si="15"/>
        <v>0</v>
      </c>
    </row>
    <row r="258" spans="1:12" x14ac:dyDescent="0.45">
      <c r="A258" s="15"/>
      <c r="B258" s="15"/>
      <c r="C258" s="24">
        <f t="shared" si="12"/>
        <v>0</v>
      </c>
      <c r="D258" s="24">
        <f t="shared" si="12"/>
        <v>0</v>
      </c>
      <c r="E258" s="8"/>
      <c r="F258" s="8"/>
      <c r="G258" s="24">
        <f t="shared" si="13"/>
        <v>0</v>
      </c>
      <c r="H258" s="24">
        <f t="shared" si="14"/>
        <v>0</v>
      </c>
      <c r="I258" s="15"/>
      <c r="J258" s="15"/>
      <c r="K258" s="24">
        <f t="shared" si="15"/>
        <v>0</v>
      </c>
      <c r="L258" s="24">
        <f t="shared" si="15"/>
        <v>0</v>
      </c>
    </row>
    <row r="259" spans="1:12" x14ac:dyDescent="0.45">
      <c r="A259" s="15"/>
      <c r="B259" s="15"/>
      <c r="C259" s="24">
        <f t="shared" ref="C259:D294" si="16">COUNTIF(A$2:A$294,A259)</f>
        <v>0</v>
      </c>
      <c r="D259" s="24">
        <f t="shared" si="16"/>
        <v>0</v>
      </c>
      <c r="E259" s="8"/>
      <c r="F259" s="8"/>
      <c r="G259" s="24">
        <f t="shared" ref="G259:G294" si="17">COUNTIF(E$2:E$294,E259)</f>
        <v>0</v>
      </c>
      <c r="H259" s="24">
        <f t="shared" ref="H259:H294" si="18">COUNTIF($F$2:$F$294,F259)</f>
        <v>0</v>
      </c>
      <c r="I259" s="15"/>
      <c r="J259" s="15"/>
      <c r="K259" s="24">
        <f t="shared" ref="K259:L294" si="19">COUNTIF(I$2:I$294,I259)</f>
        <v>0</v>
      </c>
      <c r="L259" s="24">
        <f t="shared" si="19"/>
        <v>0</v>
      </c>
    </row>
    <row r="260" spans="1:12" x14ac:dyDescent="0.45">
      <c r="A260" s="15"/>
      <c r="B260" s="15"/>
      <c r="C260" s="24">
        <f t="shared" si="16"/>
        <v>0</v>
      </c>
      <c r="D260" s="24">
        <f t="shared" si="16"/>
        <v>0</v>
      </c>
      <c r="E260" s="8"/>
      <c r="F260" s="8"/>
      <c r="G260" s="24">
        <f t="shared" si="17"/>
        <v>0</v>
      </c>
      <c r="H260" s="24">
        <f t="shared" si="18"/>
        <v>0</v>
      </c>
      <c r="I260" s="15"/>
      <c r="J260" s="15"/>
      <c r="K260" s="24">
        <f t="shared" si="19"/>
        <v>0</v>
      </c>
      <c r="L260" s="24">
        <f t="shared" si="19"/>
        <v>0</v>
      </c>
    </row>
    <row r="261" spans="1:12" x14ac:dyDescent="0.45">
      <c r="A261" s="15"/>
      <c r="B261" s="15"/>
      <c r="C261" s="24">
        <f t="shared" si="16"/>
        <v>0</v>
      </c>
      <c r="D261" s="24">
        <f t="shared" si="16"/>
        <v>0</v>
      </c>
      <c r="E261" s="8"/>
      <c r="F261" s="8"/>
      <c r="G261" s="24">
        <f t="shared" si="17"/>
        <v>0</v>
      </c>
      <c r="H261" s="24">
        <f t="shared" si="18"/>
        <v>0</v>
      </c>
      <c r="I261" s="15"/>
      <c r="J261" s="15"/>
      <c r="K261" s="24">
        <f t="shared" si="19"/>
        <v>0</v>
      </c>
      <c r="L261" s="24">
        <f t="shared" si="19"/>
        <v>0</v>
      </c>
    </row>
    <row r="262" spans="1:12" x14ac:dyDescent="0.45">
      <c r="A262" s="15"/>
      <c r="B262" s="15"/>
      <c r="C262" s="24">
        <f t="shared" si="16"/>
        <v>0</v>
      </c>
      <c r="D262" s="24">
        <f t="shared" si="16"/>
        <v>0</v>
      </c>
      <c r="E262" s="8"/>
      <c r="F262" s="8"/>
      <c r="G262" s="24">
        <f t="shared" si="17"/>
        <v>0</v>
      </c>
      <c r="H262" s="24">
        <f t="shared" si="18"/>
        <v>0</v>
      </c>
      <c r="I262" s="15"/>
      <c r="J262" s="15"/>
      <c r="K262" s="24">
        <f t="shared" si="19"/>
        <v>0</v>
      </c>
      <c r="L262" s="24">
        <f t="shared" si="19"/>
        <v>0</v>
      </c>
    </row>
    <row r="263" spans="1:12" x14ac:dyDescent="0.45">
      <c r="A263" s="15"/>
      <c r="B263" s="15"/>
      <c r="C263" s="24">
        <f t="shared" si="16"/>
        <v>0</v>
      </c>
      <c r="D263" s="24">
        <f t="shared" si="16"/>
        <v>0</v>
      </c>
      <c r="E263" s="8"/>
      <c r="F263" s="8"/>
      <c r="G263" s="24">
        <f t="shared" si="17"/>
        <v>0</v>
      </c>
      <c r="H263" s="24">
        <f t="shared" si="18"/>
        <v>0</v>
      </c>
      <c r="I263" s="15"/>
      <c r="J263" s="15"/>
      <c r="K263" s="24">
        <f t="shared" si="19"/>
        <v>0</v>
      </c>
      <c r="L263" s="24">
        <f t="shared" si="19"/>
        <v>0</v>
      </c>
    </row>
    <row r="264" spans="1:12" x14ac:dyDescent="0.45">
      <c r="A264" s="15"/>
      <c r="B264" s="15"/>
      <c r="C264" s="24">
        <f t="shared" si="16"/>
        <v>0</v>
      </c>
      <c r="D264" s="24">
        <f t="shared" si="16"/>
        <v>0</v>
      </c>
      <c r="E264" s="8"/>
      <c r="F264" s="8"/>
      <c r="G264" s="24">
        <f t="shared" si="17"/>
        <v>0</v>
      </c>
      <c r="H264" s="24">
        <f t="shared" si="18"/>
        <v>0</v>
      </c>
      <c r="I264" s="15"/>
      <c r="J264" s="15"/>
      <c r="K264" s="24">
        <f t="shared" si="19"/>
        <v>0</v>
      </c>
      <c r="L264" s="24">
        <f t="shared" si="19"/>
        <v>0</v>
      </c>
    </row>
    <row r="265" spans="1:12" x14ac:dyDescent="0.45">
      <c r="A265" s="15"/>
      <c r="B265" s="15"/>
      <c r="C265" s="24">
        <f t="shared" si="16"/>
        <v>0</v>
      </c>
      <c r="D265" s="24">
        <f t="shared" si="16"/>
        <v>0</v>
      </c>
      <c r="E265" s="8"/>
      <c r="F265" s="8"/>
      <c r="G265" s="24">
        <f t="shared" si="17"/>
        <v>0</v>
      </c>
      <c r="H265" s="24">
        <f t="shared" si="18"/>
        <v>0</v>
      </c>
      <c r="I265" s="15"/>
      <c r="J265" s="15"/>
      <c r="K265" s="24">
        <f t="shared" si="19"/>
        <v>0</v>
      </c>
      <c r="L265" s="24">
        <f t="shared" si="19"/>
        <v>0</v>
      </c>
    </row>
    <row r="266" spans="1:12" x14ac:dyDescent="0.45">
      <c r="A266" s="15"/>
      <c r="B266" s="15"/>
      <c r="C266" s="24">
        <f t="shared" si="16"/>
        <v>0</v>
      </c>
      <c r="D266" s="24">
        <f t="shared" si="16"/>
        <v>0</v>
      </c>
      <c r="E266" s="8"/>
      <c r="F266" s="8"/>
      <c r="G266" s="24">
        <f t="shared" si="17"/>
        <v>0</v>
      </c>
      <c r="H266" s="24">
        <f t="shared" si="18"/>
        <v>0</v>
      </c>
      <c r="I266" s="15"/>
      <c r="J266" s="15"/>
      <c r="K266" s="24">
        <f t="shared" si="19"/>
        <v>0</v>
      </c>
      <c r="L266" s="24">
        <f t="shared" si="19"/>
        <v>0</v>
      </c>
    </row>
    <row r="267" spans="1:12" x14ac:dyDescent="0.45">
      <c r="A267" s="15"/>
      <c r="B267" s="15"/>
      <c r="C267" s="24">
        <f t="shared" si="16"/>
        <v>0</v>
      </c>
      <c r="D267" s="24">
        <f t="shared" si="16"/>
        <v>0</v>
      </c>
      <c r="E267" s="8"/>
      <c r="F267" s="8"/>
      <c r="G267" s="24">
        <f t="shared" si="17"/>
        <v>0</v>
      </c>
      <c r="H267" s="24">
        <f t="shared" si="18"/>
        <v>0</v>
      </c>
      <c r="I267" s="15"/>
      <c r="J267" s="15"/>
      <c r="K267" s="24">
        <f t="shared" si="19"/>
        <v>0</v>
      </c>
      <c r="L267" s="24">
        <f t="shared" si="19"/>
        <v>0</v>
      </c>
    </row>
    <row r="268" spans="1:12" x14ac:dyDescent="0.45">
      <c r="A268" s="15"/>
      <c r="B268" s="15"/>
      <c r="C268" s="24">
        <f t="shared" si="16"/>
        <v>0</v>
      </c>
      <c r="D268" s="24">
        <f t="shared" si="16"/>
        <v>0</v>
      </c>
      <c r="E268" s="8"/>
      <c r="F268" s="8"/>
      <c r="G268" s="24">
        <f t="shared" si="17"/>
        <v>0</v>
      </c>
      <c r="H268" s="24">
        <f t="shared" si="18"/>
        <v>0</v>
      </c>
      <c r="I268" s="15"/>
      <c r="J268" s="15"/>
      <c r="K268" s="24">
        <f t="shared" si="19"/>
        <v>0</v>
      </c>
      <c r="L268" s="24">
        <f t="shared" si="19"/>
        <v>0</v>
      </c>
    </row>
    <row r="269" spans="1:12" x14ac:dyDescent="0.45">
      <c r="A269" s="15"/>
      <c r="B269" s="15"/>
      <c r="C269" s="24">
        <f t="shared" si="16"/>
        <v>0</v>
      </c>
      <c r="D269" s="24">
        <f t="shared" si="16"/>
        <v>0</v>
      </c>
      <c r="E269" s="8"/>
      <c r="F269" s="8"/>
      <c r="G269" s="24">
        <f t="shared" si="17"/>
        <v>0</v>
      </c>
      <c r="H269" s="24">
        <f t="shared" si="18"/>
        <v>0</v>
      </c>
      <c r="I269" s="15"/>
      <c r="J269" s="15"/>
      <c r="K269" s="24">
        <f t="shared" si="19"/>
        <v>0</v>
      </c>
      <c r="L269" s="24">
        <f t="shared" si="19"/>
        <v>0</v>
      </c>
    </row>
    <row r="270" spans="1:12" x14ac:dyDescent="0.45">
      <c r="A270" s="15"/>
      <c r="B270" s="15"/>
      <c r="C270" s="24">
        <f t="shared" si="16"/>
        <v>0</v>
      </c>
      <c r="D270" s="24">
        <f t="shared" si="16"/>
        <v>0</v>
      </c>
      <c r="E270" s="8"/>
      <c r="F270" s="8"/>
      <c r="G270" s="24">
        <f t="shared" si="17"/>
        <v>0</v>
      </c>
      <c r="H270" s="24">
        <f t="shared" si="18"/>
        <v>0</v>
      </c>
      <c r="I270" s="15"/>
      <c r="J270" s="15"/>
      <c r="K270" s="24">
        <f t="shared" si="19"/>
        <v>0</v>
      </c>
      <c r="L270" s="24">
        <f t="shared" si="19"/>
        <v>0</v>
      </c>
    </row>
    <row r="271" spans="1:12" x14ac:dyDescent="0.45">
      <c r="A271" s="15"/>
      <c r="B271" s="15"/>
      <c r="C271" s="24">
        <f t="shared" si="16"/>
        <v>0</v>
      </c>
      <c r="D271" s="24">
        <f t="shared" si="16"/>
        <v>0</v>
      </c>
      <c r="E271" s="8"/>
      <c r="F271" s="8"/>
      <c r="G271" s="24">
        <f t="shared" si="17"/>
        <v>0</v>
      </c>
      <c r="H271" s="24">
        <f t="shared" si="18"/>
        <v>0</v>
      </c>
      <c r="I271" s="15"/>
      <c r="J271" s="15"/>
      <c r="K271" s="24">
        <f t="shared" si="19"/>
        <v>0</v>
      </c>
      <c r="L271" s="24">
        <f t="shared" si="19"/>
        <v>0</v>
      </c>
    </row>
    <row r="272" spans="1:12" x14ac:dyDescent="0.45">
      <c r="A272" s="15"/>
      <c r="B272" s="15"/>
      <c r="C272" s="24">
        <f t="shared" si="16"/>
        <v>0</v>
      </c>
      <c r="D272" s="24">
        <f t="shared" si="16"/>
        <v>0</v>
      </c>
      <c r="E272" s="8"/>
      <c r="F272" s="8"/>
      <c r="G272" s="24">
        <f t="shared" si="17"/>
        <v>0</v>
      </c>
      <c r="H272" s="24">
        <f t="shared" si="18"/>
        <v>0</v>
      </c>
      <c r="I272" s="15"/>
      <c r="J272" s="15"/>
      <c r="K272" s="24">
        <f t="shared" si="19"/>
        <v>0</v>
      </c>
      <c r="L272" s="24">
        <f t="shared" si="19"/>
        <v>0</v>
      </c>
    </row>
    <row r="273" spans="1:12" x14ac:dyDescent="0.45">
      <c r="A273" s="15"/>
      <c r="B273" s="15"/>
      <c r="C273" s="24">
        <f t="shared" si="16"/>
        <v>0</v>
      </c>
      <c r="D273" s="24">
        <f t="shared" si="16"/>
        <v>0</v>
      </c>
      <c r="E273" s="8"/>
      <c r="F273" s="8"/>
      <c r="G273" s="24">
        <f t="shared" si="17"/>
        <v>0</v>
      </c>
      <c r="H273" s="24">
        <f t="shared" si="18"/>
        <v>0</v>
      </c>
      <c r="I273" s="15"/>
      <c r="J273" s="15"/>
      <c r="K273" s="24">
        <f t="shared" si="19"/>
        <v>0</v>
      </c>
      <c r="L273" s="24">
        <f t="shared" si="19"/>
        <v>0</v>
      </c>
    </row>
    <row r="274" spans="1:12" x14ac:dyDescent="0.45">
      <c r="A274" s="15"/>
      <c r="B274" s="15"/>
      <c r="C274" s="24">
        <f t="shared" si="16"/>
        <v>0</v>
      </c>
      <c r="D274" s="24">
        <f t="shared" si="16"/>
        <v>0</v>
      </c>
      <c r="E274" s="8"/>
      <c r="F274" s="8"/>
      <c r="G274" s="24">
        <f t="shared" si="17"/>
        <v>0</v>
      </c>
      <c r="H274" s="24">
        <f t="shared" si="18"/>
        <v>0</v>
      </c>
      <c r="I274" s="15"/>
      <c r="J274" s="15"/>
      <c r="K274" s="24">
        <f t="shared" si="19"/>
        <v>0</v>
      </c>
      <c r="L274" s="24">
        <f t="shared" si="19"/>
        <v>0</v>
      </c>
    </row>
    <row r="275" spans="1:12" x14ac:dyDescent="0.45">
      <c r="A275" s="15"/>
      <c r="B275" s="15"/>
      <c r="C275" s="24">
        <f t="shared" si="16"/>
        <v>0</v>
      </c>
      <c r="D275" s="24">
        <f t="shared" si="16"/>
        <v>0</v>
      </c>
      <c r="E275" s="8"/>
      <c r="F275" s="8"/>
      <c r="G275" s="24">
        <f t="shared" si="17"/>
        <v>0</v>
      </c>
      <c r="H275" s="24">
        <f t="shared" si="18"/>
        <v>0</v>
      </c>
      <c r="I275" s="15"/>
      <c r="J275" s="15"/>
      <c r="K275" s="24">
        <f t="shared" si="19"/>
        <v>0</v>
      </c>
      <c r="L275" s="24">
        <f t="shared" si="19"/>
        <v>0</v>
      </c>
    </row>
    <row r="276" spans="1:12" x14ac:dyDescent="0.45">
      <c r="A276" s="15"/>
      <c r="B276" s="15"/>
      <c r="C276" s="24">
        <f t="shared" si="16"/>
        <v>0</v>
      </c>
      <c r="D276" s="24">
        <f t="shared" si="16"/>
        <v>0</v>
      </c>
      <c r="E276" s="8"/>
      <c r="F276" s="8"/>
      <c r="G276" s="24">
        <f t="shared" si="17"/>
        <v>0</v>
      </c>
      <c r="H276" s="24">
        <f t="shared" si="18"/>
        <v>0</v>
      </c>
      <c r="I276" s="15"/>
      <c r="J276" s="15"/>
      <c r="K276" s="24">
        <f t="shared" si="19"/>
        <v>0</v>
      </c>
      <c r="L276" s="24">
        <f t="shared" si="19"/>
        <v>0</v>
      </c>
    </row>
    <row r="277" spans="1:12" x14ac:dyDescent="0.45">
      <c r="A277" s="15"/>
      <c r="B277" s="15"/>
      <c r="C277" s="24">
        <f t="shared" si="16"/>
        <v>0</v>
      </c>
      <c r="D277" s="24">
        <f t="shared" si="16"/>
        <v>0</v>
      </c>
      <c r="E277" s="8"/>
      <c r="F277" s="8"/>
      <c r="G277" s="24">
        <f t="shared" si="17"/>
        <v>0</v>
      </c>
      <c r="H277" s="24">
        <f t="shared" si="18"/>
        <v>0</v>
      </c>
      <c r="I277" s="15"/>
      <c r="J277" s="15"/>
      <c r="K277" s="24">
        <f t="shared" si="19"/>
        <v>0</v>
      </c>
      <c r="L277" s="24">
        <f t="shared" si="19"/>
        <v>0</v>
      </c>
    </row>
    <row r="278" spans="1:12" x14ac:dyDescent="0.45">
      <c r="A278" s="15"/>
      <c r="B278" s="15"/>
      <c r="C278" s="24">
        <f t="shared" si="16"/>
        <v>0</v>
      </c>
      <c r="D278" s="24">
        <f t="shared" si="16"/>
        <v>0</v>
      </c>
      <c r="E278" s="8"/>
      <c r="F278" s="8"/>
      <c r="G278" s="24">
        <f t="shared" si="17"/>
        <v>0</v>
      </c>
      <c r="H278" s="24">
        <f t="shared" si="18"/>
        <v>0</v>
      </c>
      <c r="I278" s="15"/>
      <c r="J278" s="15"/>
      <c r="K278" s="24">
        <f t="shared" si="19"/>
        <v>0</v>
      </c>
      <c r="L278" s="24">
        <f t="shared" si="19"/>
        <v>0</v>
      </c>
    </row>
    <row r="279" spans="1:12" x14ac:dyDescent="0.45">
      <c r="A279" s="15"/>
      <c r="B279" s="15"/>
      <c r="C279" s="24">
        <f t="shared" si="16"/>
        <v>0</v>
      </c>
      <c r="D279" s="24">
        <f t="shared" si="16"/>
        <v>0</v>
      </c>
      <c r="E279" s="8"/>
      <c r="F279" s="8"/>
      <c r="G279" s="24">
        <f t="shared" si="17"/>
        <v>0</v>
      </c>
      <c r="H279" s="24">
        <f t="shared" si="18"/>
        <v>0</v>
      </c>
      <c r="I279" s="15"/>
      <c r="J279" s="15"/>
      <c r="K279" s="24">
        <f t="shared" si="19"/>
        <v>0</v>
      </c>
      <c r="L279" s="24">
        <f t="shared" si="19"/>
        <v>0</v>
      </c>
    </row>
    <row r="280" spans="1:12" x14ac:dyDescent="0.45">
      <c r="A280" s="15"/>
      <c r="B280" s="15"/>
      <c r="C280" s="24">
        <f t="shared" si="16"/>
        <v>0</v>
      </c>
      <c r="D280" s="24">
        <f t="shared" si="16"/>
        <v>0</v>
      </c>
      <c r="E280" s="8"/>
      <c r="F280" s="8"/>
      <c r="G280" s="24">
        <f t="shared" si="17"/>
        <v>0</v>
      </c>
      <c r="H280" s="24">
        <f t="shared" si="18"/>
        <v>0</v>
      </c>
      <c r="I280" s="15"/>
      <c r="J280" s="15"/>
      <c r="K280" s="24">
        <f t="shared" si="19"/>
        <v>0</v>
      </c>
      <c r="L280" s="24">
        <f t="shared" si="19"/>
        <v>0</v>
      </c>
    </row>
    <row r="281" spans="1:12" x14ac:dyDescent="0.45">
      <c r="A281" s="15"/>
      <c r="B281" s="15"/>
      <c r="C281" s="24">
        <f t="shared" si="16"/>
        <v>0</v>
      </c>
      <c r="D281" s="24">
        <f t="shared" si="16"/>
        <v>0</v>
      </c>
      <c r="E281" s="8"/>
      <c r="F281" s="8"/>
      <c r="G281" s="24">
        <f t="shared" si="17"/>
        <v>0</v>
      </c>
      <c r="H281" s="24">
        <f t="shared" si="18"/>
        <v>0</v>
      </c>
      <c r="I281" s="15"/>
      <c r="J281" s="15"/>
      <c r="K281" s="24">
        <f t="shared" si="19"/>
        <v>0</v>
      </c>
      <c r="L281" s="24">
        <f t="shared" si="19"/>
        <v>0</v>
      </c>
    </row>
    <row r="282" spans="1:12" x14ac:dyDescent="0.45">
      <c r="A282" s="15"/>
      <c r="B282" s="15"/>
      <c r="C282" s="24">
        <f t="shared" si="16"/>
        <v>0</v>
      </c>
      <c r="D282" s="24">
        <f t="shared" si="16"/>
        <v>0</v>
      </c>
      <c r="E282" s="8"/>
      <c r="F282" s="8"/>
      <c r="G282" s="24">
        <f t="shared" si="17"/>
        <v>0</v>
      </c>
      <c r="H282" s="24">
        <f t="shared" si="18"/>
        <v>0</v>
      </c>
      <c r="I282" s="15"/>
      <c r="J282" s="15"/>
      <c r="K282" s="24">
        <f t="shared" si="19"/>
        <v>0</v>
      </c>
      <c r="L282" s="24">
        <f t="shared" si="19"/>
        <v>0</v>
      </c>
    </row>
    <row r="283" spans="1:12" x14ac:dyDescent="0.45">
      <c r="A283" s="15"/>
      <c r="B283" s="15"/>
      <c r="C283" s="24">
        <f t="shared" si="16"/>
        <v>0</v>
      </c>
      <c r="D283" s="24">
        <f t="shared" si="16"/>
        <v>0</v>
      </c>
      <c r="E283" s="8"/>
      <c r="F283" s="8"/>
      <c r="G283" s="24">
        <f t="shared" si="17"/>
        <v>0</v>
      </c>
      <c r="H283" s="24">
        <f t="shared" si="18"/>
        <v>0</v>
      </c>
      <c r="I283" s="15"/>
      <c r="J283" s="15"/>
      <c r="K283" s="24">
        <f t="shared" si="19"/>
        <v>0</v>
      </c>
      <c r="L283" s="24">
        <f t="shared" si="19"/>
        <v>0</v>
      </c>
    </row>
    <row r="284" spans="1:12" x14ac:dyDescent="0.45">
      <c r="A284" s="15"/>
      <c r="B284" s="15"/>
      <c r="C284" s="24">
        <f t="shared" si="16"/>
        <v>0</v>
      </c>
      <c r="D284" s="24">
        <f t="shared" si="16"/>
        <v>0</v>
      </c>
      <c r="E284" s="8"/>
      <c r="F284" s="8"/>
      <c r="G284" s="24">
        <f t="shared" si="17"/>
        <v>0</v>
      </c>
      <c r="H284" s="24">
        <f t="shared" si="18"/>
        <v>0</v>
      </c>
      <c r="I284" s="15"/>
      <c r="J284" s="15"/>
      <c r="K284" s="24">
        <f t="shared" si="19"/>
        <v>0</v>
      </c>
      <c r="L284" s="24">
        <f t="shared" si="19"/>
        <v>0</v>
      </c>
    </row>
    <row r="285" spans="1:12" x14ac:dyDescent="0.45">
      <c r="A285" s="15"/>
      <c r="B285" s="15"/>
      <c r="C285" s="24">
        <f t="shared" si="16"/>
        <v>0</v>
      </c>
      <c r="D285" s="24">
        <f t="shared" si="16"/>
        <v>0</v>
      </c>
      <c r="E285" s="8"/>
      <c r="F285" s="8"/>
      <c r="G285" s="24">
        <f t="shared" si="17"/>
        <v>0</v>
      </c>
      <c r="H285" s="24">
        <f t="shared" si="18"/>
        <v>0</v>
      </c>
      <c r="I285" s="15"/>
      <c r="J285" s="15"/>
      <c r="K285" s="24">
        <f t="shared" si="19"/>
        <v>0</v>
      </c>
      <c r="L285" s="24">
        <f t="shared" si="19"/>
        <v>0</v>
      </c>
    </row>
    <row r="286" spans="1:12" x14ac:dyDescent="0.45">
      <c r="A286" s="15"/>
      <c r="B286" s="15"/>
      <c r="C286" s="24">
        <f t="shared" si="16"/>
        <v>0</v>
      </c>
      <c r="D286" s="24">
        <f t="shared" si="16"/>
        <v>0</v>
      </c>
      <c r="E286" s="8"/>
      <c r="F286" s="8"/>
      <c r="G286" s="24">
        <f t="shared" si="17"/>
        <v>0</v>
      </c>
      <c r="H286" s="24">
        <f t="shared" si="18"/>
        <v>0</v>
      </c>
      <c r="I286" s="15"/>
      <c r="J286" s="15"/>
      <c r="K286" s="24">
        <f t="shared" si="19"/>
        <v>0</v>
      </c>
      <c r="L286" s="24">
        <f t="shared" si="19"/>
        <v>0</v>
      </c>
    </row>
    <row r="287" spans="1:12" x14ac:dyDescent="0.45">
      <c r="A287" s="15"/>
      <c r="B287" s="15"/>
      <c r="C287" s="24">
        <f t="shared" si="16"/>
        <v>0</v>
      </c>
      <c r="D287" s="24">
        <f t="shared" si="16"/>
        <v>0</v>
      </c>
      <c r="E287" s="8"/>
      <c r="F287" s="8"/>
      <c r="G287" s="24">
        <f t="shared" si="17"/>
        <v>0</v>
      </c>
      <c r="H287" s="24">
        <f t="shared" si="18"/>
        <v>0</v>
      </c>
      <c r="I287" s="15"/>
      <c r="J287" s="15"/>
      <c r="K287" s="24">
        <f t="shared" si="19"/>
        <v>0</v>
      </c>
      <c r="L287" s="24">
        <f t="shared" si="19"/>
        <v>0</v>
      </c>
    </row>
    <row r="288" spans="1:12" x14ac:dyDescent="0.45">
      <c r="A288" s="15"/>
      <c r="B288" s="15"/>
      <c r="C288" s="24">
        <f t="shared" si="16"/>
        <v>0</v>
      </c>
      <c r="D288" s="24">
        <f t="shared" si="16"/>
        <v>0</v>
      </c>
      <c r="E288" s="8"/>
      <c r="F288" s="8"/>
      <c r="G288" s="24">
        <f t="shared" si="17"/>
        <v>0</v>
      </c>
      <c r="H288" s="24">
        <f t="shared" si="18"/>
        <v>0</v>
      </c>
      <c r="I288" s="15"/>
      <c r="J288" s="15"/>
      <c r="K288" s="24">
        <f t="shared" si="19"/>
        <v>0</v>
      </c>
      <c r="L288" s="24">
        <f t="shared" si="19"/>
        <v>0</v>
      </c>
    </row>
    <row r="289" spans="1:12" x14ac:dyDescent="0.45">
      <c r="A289" s="15"/>
      <c r="B289" s="15"/>
      <c r="C289" s="24">
        <f t="shared" si="16"/>
        <v>0</v>
      </c>
      <c r="D289" s="24">
        <f t="shared" si="16"/>
        <v>0</v>
      </c>
      <c r="E289" s="8"/>
      <c r="F289" s="8"/>
      <c r="G289" s="24">
        <f t="shared" si="17"/>
        <v>0</v>
      </c>
      <c r="H289" s="24">
        <f t="shared" si="18"/>
        <v>0</v>
      </c>
      <c r="I289" s="15"/>
      <c r="J289" s="15"/>
      <c r="K289" s="24">
        <f t="shared" si="19"/>
        <v>0</v>
      </c>
      <c r="L289" s="24">
        <f t="shared" si="19"/>
        <v>0</v>
      </c>
    </row>
    <row r="290" spans="1:12" x14ac:dyDescent="0.45">
      <c r="A290" s="15"/>
      <c r="B290" s="15"/>
      <c r="C290" s="24">
        <f t="shared" si="16"/>
        <v>0</v>
      </c>
      <c r="D290" s="24">
        <f t="shared" si="16"/>
        <v>0</v>
      </c>
      <c r="E290" s="8"/>
      <c r="F290" s="8"/>
      <c r="G290" s="24">
        <f t="shared" si="17"/>
        <v>0</v>
      </c>
      <c r="H290" s="24">
        <f t="shared" si="18"/>
        <v>0</v>
      </c>
      <c r="I290" s="15"/>
      <c r="J290" s="15"/>
      <c r="K290" s="24">
        <f t="shared" si="19"/>
        <v>0</v>
      </c>
      <c r="L290" s="24">
        <f t="shared" si="19"/>
        <v>0</v>
      </c>
    </row>
    <row r="291" spans="1:12" x14ac:dyDescent="0.45">
      <c r="A291" s="15"/>
      <c r="B291" s="15"/>
      <c r="C291" s="24">
        <f t="shared" si="16"/>
        <v>0</v>
      </c>
      <c r="D291" s="24">
        <f t="shared" si="16"/>
        <v>0</v>
      </c>
      <c r="E291" s="8"/>
      <c r="F291" s="8"/>
      <c r="G291" s="24">
        <f t="shared" si="17"/>
        <v>0</v>
      </c>
      <c r="H291" s="24">
        <f t="shared" si="18"/>
        <v>0</v>
      </c>
      <c r="I291" s="15"/>
      <c r="J291" s="15"/>
      <c r="K291" s="24">
        <f t="shared" si="19"/>
        <v>0</v>
      </c>
      <c r="L291" s="24">
        <f t="shared" si="19"/>
        <v>0</v>
      </c>
    </row>
    <row r="292" spans="1:12" x14ac:dyDescent="0.45">
      <c r="A292" s="15"/>
      <c r="B292" s="15"/>
      <c r="C292" s="24">
        <f t="shared" si="16"/>
        <v>0</v>
      </c>
      <c r="D292" s="24">
        <f t="shared" si="16"/>
        <v>0</v>
      </c>
      <c r="E292" s="8"/>
      <c r="F292" s="8"/>
      <c r="G292" s="24">
        <f t="shared" si="17"/>
        <v>0</v>
      </c>
      <c r="H292" s="24">
        <f t="shared" si="18"/>
        <v>0</v>
      </c>
      <c r="I292" s="15"/>
      <c r="J292" s="15"/>
      <c r="K292" s="24">
        <f t="shared" si="19"/>
        <v>0</v>
      </c>
      <c r="L292" s="24">
        <f t="shared" si="19"/>
        <v>0</v>
      </c>
    </row>
    <row r="293" spans="1:12" x14ac:dyDescent="0.45">
      <c r="A293" s="15"/>
      <c r="B293" s="15"/>
      <c r="C293" s="24">
        <f t="shared" si="16"/>
        <v>0</v>
      </c>
      <c r="D293" s="24">
        <f t="shared" si="16"/>
        <v>0</v>
      </c>
      <c r="E293" s="8"/>
      <c r="F293" s="8"/>
      <c r="G293" s="24">
        <f t="shared" si="17"/>
        <v>0</v>
      </c>
      <c r="H293" s="24">
        <f t="shared" si="18"/>
        <v>0</v>
      </c>
      <c r="I293" s="15"/>
      <c r="J293" s="15"/>
      <c r="K293" s="24">
        <f t="shared" si="19"/>
        <v>0</v>
      </c>
      <c r="L293" s="24">
        <f t="shared" si="19"/>
        <v>0</v>
      </c>
    </row>
    <row r="294" spans="1:12" x14ac:dyDescent="0.45">
      <c r="A294" s="15"/>
      <c r="B294" s="15"/>
      <c r="C294" s="24">
        <f t="shared" si="16"/>
        <v>0</v>
      </c>
      <c r="D294" s="24">
        <f t="shared" si="16"/>
        <v>0</v>
      </c>
      <c r="E294" s="8"/>
      <c r="F294" s="8"/>
      <c r="G294" s="24">
        <f t="shared" si="17"/>
        <v>0</v>
      </c>
      <c r="H294" s="24">
        <f t="shared" si="18"/>
        <v>0</v>
      </c>
      <c r="I294" s="15"/>
      <c r="J294" s="15"/>
      <c r="K294" s="24">
        <f t="shared" si="19"/>
        <v>0</v>
      </c>
      <c r="L294" s="24">
        <f t="shared" si="19"/>
        <v>0</v>
      </c>
    </row>
  </sheetData>
  <phoneticPr fontId="1"/>
  <conditionalFormatting sqref="C2:C294 G2:G294 K2:K294">
    <cfRule type="cellIs" dxfId="0" priority="1" operator="greaterThanOrEqual">
      <formula>2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1CC328-47C7-47A5-BE53-3531595D3D9E}">
  <sheetPr codeName="Sheet2"/>
  <dimension ref="A1:C116"/>
  <sheetViews>
    <sheetView topLeftCell="A86" zoomScale="85" zoomScaleNormal="85" workbookViewId="0">
      <selection activeCell="B40" sqref="B40"/>
    </sheetView>
  </sheetViews>
  <sheetFormatPr defaultRowHeight="18" x14ac:dyDescent="0.45"/>
  <cols>
    <col min="1" max="1" width="35.3984375" bestFit="1" customWidth="1"/>
    <col min="2" max="2" width="81.296875" bestFit="1" customWidth="1"/>
    <col min="12" max="12" width="13.69921875" bestFit="1" customWidth="1"/>
  </cols>
  <sheetData>
    <row r="1" spans="1:2" x14ac:dyDescent="0.45">
      <c r="A1" s="1" t="s">
        <v>7</v>
      </c>
    </row>
    <row r="2" spans="1:2" x14ac:dyDescent="0.45">
      <c r="A2" s="1" t="s">
        <v>27</v>
      </c>
      <c r="B2" t="s">
        <v>8</v>
      </c>
    </row>
    <row r="3" spans="1:2" x14ac:dyDescent="0.45">
      <c r="A3" s="1" t="s">
        <v>28</v>
      </c>
      <c r="B3" t="s">
        <v>9</v>
      </c>
    </row>
    <row r="4" spans="1:2" x14ac:dyDescent="0.45">
      <c r="A4" s="1" t="s">
        <v>29</v>
      </c>
      <c r="B4" t="s">
        <v>10</v>
      </c>
    </row>
    <row r="5" spans="1:2" x14ac:dyDescent="0.45">
      <c r="A5" s="1" t="s">
        <v>30</v>
      </c>
      <c r="B5" t="s">
        <v>11</v>
      </c>
    </row>
    <row r="6" spans="1:2" x14ac:dyDescent="0.45">
      <c r="A6" s="1" t="s">
        <v>31</v>
      </c>
      <c r="B6" t="s">
        <v>12</v>
      </c>
    </row>
    <row r="7" spans="1:2" x14ac:dyDescent="0.45">
      <c r="A7" s="1" t="s">
        <v>32</v>
      </c>
      <c r="B7" t="s">
        <v>13</v>
      </c>
    </row>
    <row r="8" spans="1:2" x14ac:dyDescent="0.45">
      <c r="A8" s="1" t="s">
        <v>33</v>
      </c>
      <c r="B8" t="s">
        <v>14</v>
      </c>
    </row>
    <row r="9" spans="1:2" x14ac:dyDescent="0.45">
      <c r="A9" s="1" t="s">
        <v>34</v>
      </c>
      <c r="B9" t="s">
        <v>15</v>
      </c>
    </row>
    <row r="10" spans="1:2" x14ac:dyDescent="0.45">
      <c r="A10" s="1" t="s">
        <v>35</v>
      </c>
      <c r="B10" t="s">
        <v>16</v>
      </c>
    </row>
    <row r="11" spans="1:2" x14ac:dyDescent="0.45">
      <c r="A11" s="1" t="s">
        <v>36</v>
      </c>
      <c r="B11" t="s">
        <v>17</v>
      </c>
    </row>
    <row r="12" spans="1:2" x14ac:dyDescent="0.45">
      <c r="A12" s="1" t="s">
        <v>37</v>
      </c>
      <c r="B12" t="s">
        <v>18</v>
      </c>
    </row>
    <row r="13" spans="1:2" x14ac:dyDescent="0.45">
      <c r="A13" s="1" t="s">
        <v>38</v>
      </c>
      <c r="B13" t="s">
        <v>19</v>
      </c>
    </row>
    <row r="14" spans="1:2" x14ac:dyDescent="0.45">
      <c r="A14" s="1" t="s">
        <v>39</v>
      </c>
      <c r="B14" t="s">
        <v>20</v>
      </c>
    </row>
    <row r="15" spans="1:2" x14ac:dyDescent="0.45">
      <c r="A15" s="1" t="s">
        <v>40</v>
      </c>
      <c r="B15" t="s">
        <v>21</v>
      </c>
    </row>
    <row r="16" spans="1:2" x14ac:dyDescent="0.45">
      <c r="A16" s="1" t="s">
        <v>41</v>
      </c>
      <c r="B16" t="s">
        <v>22</v>
      </c>
    </row>
    <row r="17" spans="1:3" x14ac:dyDescent="0.45">
      <c r="A17" s="1" t="s">
        <v>42</v>
      </c>
      <c r="B17" t="s">
        <v>23</v>
      </c>
    </row>
    <row r="18" spans="1:3" x14ac:dyDescent="0.45">
      <c r="A18" s="1" t="s">
        <v>43</v>
      </c>
      <c r="B18" t="s">
        <v>24</v>
      </c>
    </row>
    <row r="19" spans="1:3" x14ac:dyDescent="0.45">
      <c r="A19" s="1" t="s">
        <v>44</v>
      </c>
      <c r="B19" t="s">
        <v>25</v>
      </c>
    </row>
    <row r="20" spans="1:3" x14ac:dyDescent="0.45">
      <c r="A20" s="1" t="s">
        <v>45</v>
      </c>
      <c r="B20" t="s">
        <v>26</v>
      </c>
    </row>
    <row r="21" spans="1:3" x14ac:dyDescent="0.45">
      <c r="A21" s="1"/>
    </row>
    <row r="22" spans="1:3" x14ac:dyDescent="0.45">
      <c r="A22" s="1"/>
    </row>
    <row r="23" spans="1:3" x14ac:dyDescent="0.45">
      <c r="A23" s="1" t="s">
        <v>337</v>
      </c>
      <c r="B23" s="1" t="s">
        <v>223</v>
      </c>
      <c r="C23" t="s">
        <v>293</v>
      </c>
    </row>
    <row r="24" spans="1:3" x14ac:dyDescent="0.45">
      <c r="A24" s="1" t="s">
        <v>337</v>
      </c>
      <c r="B24" s="1" t="s">
        <v>223</v>
      </c>
      <c r="C24" t="s">
        <v>294</v>
      </c>
    </row>
    <row r="25" spans="1:3" x14ac:dyDescent="0.45">
      <c r="A25" s="1" t="s">
        <v>337</v>
      </c>
      <c r="B25" s="1" t="s">
        <v>223</v>
      </c>
      <c r="C25" t="s">
        <v>295</v>
      </c>
    </row>
    <row r="26" spans="1:3" x14ac:dyDescent="0.45">
      <c r="A26" s="1" t="s">
        <v>337</v>
      </c>
      <c r="B26" s="1" t="s">
        <v>223</v>
      </c>
      <c r="C26" t="s">
        <v>296</v>
      </c>
    </row>
    <row r="27" spans="1:3" x14ac:dyDescent="0.45">
      <c r="A27" s="1" t="s">
        <v>337</v>
      </c>
      <c r="B27" s="1" t="s">
        <v>223</v>
      </c>
      <c r="C27" t="s">
        <v>297</v>
      </c>
    </row>
    <row r="28" spans="1:3" x14ac:dyDescent="0.45">
      <c r="A28" s="1" t="s">
        <v>337</v>
      </c>
      <c r="B28" s="1" t="s">
        <v>223</v>
      </c>
      <c r="C28" t="s">
        <v>298</v>
      </c>
    </row>
    <row r="29" spans="1:3" x14ac:dyDescent="0.45">
      <c r="A29" s="1" t="s">
        <v>337</v>
      </c>
      <c r="B29" s="1" t="s">
        <v>223</v>
      </c>
      <c r="C29" t="s">
        <v>299</v>
      </c>
    </row>
    <row r="30" spans="1:3" x14ac:dyDescent="0.45">
      <c r="A30" s="1" t="s">
        <v>337</v>
      </c>
      <c r="B30" s="1" t="s">
        <v>223</v>
      </c>
      <c r="C30" t="s">
        <v>300</v>
      </c>
    </row>
    <row r="31" spans="1:3" x14ac:dyDescent="0.45">
      <c r="A31" s="1" t="s">
        <v>337</v>
      </c>
      <c r="B31" s="1" t="s">
        <v>223</v>
      </c>
      <c r="C31" t="s">
        <v>301</v>
      </c>
    </row>
    <row r="32" spans="1:3" x14ac:dyDescent="0.45">
      <c r="A32" s="1" t="s">
        <v>337</v>
      </c>
      <c r="B32" s="1" t="s">
        <v>223</v>
      </c>
      <c r="C32" t="s">
        <v>302</v>
      </c>
    </row>
    <row r="33" spans="1:3" x14ac:dyDescent="0.45">
      <c r="A33" s="1" t="s">
        <v>337</v>
      </c>
      <c r="B33" s="1" t="s">
        <v>223</v>
      </c>
      <c r="C33" t="s">
        <v>303</v>
      </c>
    </row>
    <row r="34" spans="1:3" x14ac:dyDescent="0.45">
      <c r="A34" s="1" t="s">
        <v>337</v>
      </c>
      <c r="B34" s="1" t="s">
        <v>224</v>
      </c>
      <c r="C34" t="s">
        <v>86</v>
      </c>
    </row>
    <row r="35" spans="1:3" x14ac:dyDescent="0.45">
      <c r="A35" s="1" t="s">
        <v>337</v>
      </c>
      <c r="B35" s="1" t="s">
        <v>224</v>
      </c>
      <c r="C35" t="s">
        <v>87</v>
      </c>
    </row>
    <row r="36" spans="1:3" x14ac:dyDescent="0.45">
      <c r="A36" s="1" t="s">
        <v>337</v>
      </c>
      <c r="B36" s="1" t="s">
        <v>224</v>
      </c>
      <c r="C36" t="s">
        <v>88</v>
      </c>
    </row>
    <row r="37" spans="1:3" x14ac:dyDescent="0.45">
      <c r="A37" s="1" t="s">
        <v>337</v>
      </c>
      <c r="B37" s="1" t="s">
        <v>224</v>
      </c>
      <c r="C37" t="s">
        <v>89</v>
      </c>
    </row>
    <row r="38" spans="1:3" x14ac:dyDescent="0.45">
      <c r="A38" s="1" t="s">
        <v>337</v>
      </c>
      <c r="B38" s="1" t="s">
        <v>224</v>
      </c>
      <c r="C38" t="s">
        <v>90</v>
      </c>
    </row>
    <row r="39" spans="1:3" x14ac:dyDescent="0.45">
      <c r="A39" s="1" t="s">
        <v>337</v>
      </c>
      <c r="B39" s="1" t="s">
        <v>224</v>
      </c>
      <c r="C39" t="s">
        <v>91</v>
      </c>
    </row>
    <row r="40" spans="1:3" x14ac:dyDescent="0.45">
      <c r="A40" s="1" t="s">
        <v>337</v>
      </c>
      <c r="B40" s="1" t="s">
        <v>224</v>
      </c>
      <c r="C40" t="s">
        <v>92</v>
      </c>
    </row>
    <row r="41" spans="1:3" x14ac:dyDescent="0.45">
      <c r="A41" s="1" t="s">
        <v>337</v>
      </c>
      <c r="B41" s="1" t="s">
        <v>224</v>
      </c>
      <c r="C41" t="s">
        <v>93</v>
      </c>
    </row>
    <row r="42" spans="1:3" x14ac:dyDescent="0.45">
      <c r="A42" s="1" t="s">
        <v>337</v>
      </c>
      <c r="B42" s="1" t="s">
        <v>224</v>
      </c>
      <c r="C42" t="s">
        <v>94</v>
      </c>
    </row>
    <row r="43" spans="1:3" x14ac:dyDescent="0.45">
      <c r="A43" s="1" t="s">
        <v>337</v>
      </c>
      <c r="B43" s="1" t="s">
        <v>224</v>
      </c>
      <c r="C43" t="s">
        <v>95</v>
      </c>
    </row>
    <row r="44" spans="1:3" x14ac:dyDescent="0.45">
      <c r="A44" s="1" t="s">
        <v>337</v>
      </c>
      <c r="B44" s="1" t="s">
        <v>224</v>
      </c>
      <c r="C44" t="s">
        <v>96</v>
      </c>
    </row>
    <row r="45" spans="1:3" x14ac:dyDescent="0.45">
      <c r="A45" s="1" t="s">
        <v>337</v>
      </c>
      <c r="B45" s="1" t="s">
        <v>224</v>
      </c>
      <c r="C45" t="s">
        <v>97</v>
      </c>
    </row>
    <row r="46" spans="1:3" x14ac:dyDescent="0.45">
      <c r="A46" s="1" t="s">
        <v>337</v>
      </c>
      <c r="B46" s="1" t="s">
        <v>224</v>
      </c>
      <c r="C46" t="s">
        <v>98</v>
      </c>
    </row>
    <row r="47" spans="1:3" x14ac:dyDescent="0.45">
      <c r="A47" s="1" t="s">
        <v>337</v>
      </c>
      <c r="B47" s="1" t="s">
        <v>224</v>
      </c>
      <c r="C47" t="s">
        <v>99</v>
      </c>
    </row>
    <row r="48" spans="1:3" x14ac:dyDescent="0.45">
      <c r="A48" s="1" t="s">
        <v>337</v>
      </c>
      <c r="B48" s="1" t="s">
        <v>224</v>
      </c>
      <c r="C48" t="s">
        <v>100</v>
      </c>
    </row>
    <row r="49" spans="1:3" x14ac:dyDescent="0.45">
      <c r="A49" s="1" t="s">
        <v>337</v>
      </c>
      <c r="B49" s="1" t="s">
        <v>224</v>
      </c>
      <c r="C49" t="s">
        <v>101</v>
      </c>
    </row>
    <row r="50" spans="1:3" x14ac:dyDescent="0.45">
      <c r="A50" s="1" t="s">
        <v>337</v>
      </c>
      <c r="B50" s="1" t="s">
        <v>102</v>
      </c>
      <c r="C50" t="s">
        <v>103</v>
      </c>
    </row>
    <row r="51" spans="1:3" x14ac:dyDescent="0.45">
      <c r="A51" s="1" t="s">
        <v>337</v>
      </c>
      <c r="B51" s="1" t="s">
        <v>102</v>
      </c>
      <c r="C51" t="s">
        <v>104</v>
      </c>
    </row>
    <row r="52" spans="1:3" x14ac:dyDescent="0.45">
      <c r="A52" s="1" t="s">
        <v>337</v>
      </c>
      <c r="B52" s="1" t="s">
        <v>102</v>
      </c>
      <c r="C52" t="s">
        <v>105</v>
      </c>
    </row>
    <row r="53" spans="1:3" x14ac:dyDescent="0.45">
      <c r="A53" s="1" t="s">
        <v>337</v>
      </c>
      <c r="B53" s="1" t="s">
        <v>102</v>
      </c>
      <c r="C53" t="s">
        <v>106</v>
      </c>
    </row>
    <row r="54" spans="1:3" x14ac:dyDescent="0.45">
      <c r="A54" s="1" t="s">
        <v>337</v>
      </c>
      <c r="B54" s="1" t="s">
        <v>102</v>
      </c>
      <c r="C54" t="s">
        <v>107</v>
      </c>
    </row>
    <row r="55" spans="1:3" x14ac:dyDescent="0.45">
      <c r="A55" s="1" t="s">
        <v>337</v>
      </c>
      <c r="B55" s="1" t="s">
        <v>225</v>
      </c>
      <c r="C55" t="s">
        <v>108</v>
      </c>
    </row>
    <row r="56" spans="1:3" x14ac:dyDescent="0.45">
      <c r="A56" s="1" t="s">
        <v>337</v>
      </c>
      <c r="B56" s="1" t="s">
        <v>225</v>
      </c>
      <c r="C56" t="s">
        <v>109</v>
      </c>
    </row>
    <row r="57" spans="1:3" x14ac:dyDescent="0.45">
      <c r="A57" s="1" t="s">
        <v>337</v>
      </c>
      <c r="B57" s="1" t="s">
        <v>225</v>
      </c>
      <c r="C57" t="s">
        <v>110</v>
      </c>
    </row>
    <row r="58" spans="1:3" x14ac:dyDescent="0.45">
      <c r="A58" s="1" t="s">
        <v>337</v>
      </c>
      <c r="B58" s="1" t="s">
        <v>225</v>
      </c>
      <c r="C58" t="s">
        <v>111</v>
      </c>
    </row>
    <row r="59" spans="1:3" x14ac:dyDescent="0.45">
      <c r="A59" s="1" t="s">
        <v>337</v>
      </c>
      <c r="B59" s="1" t="s">
        <v>225</v>
      </c>
      <c r="C59" t="s">
        <v>112</v>
      </c>
    </row>
    <row r="60" spans="1:3" x14ac:dyDescent="0.45">
      <c r="A60" s="1" t="s">
        <v>337</v>
      </c>
      <c r="B60" t="s">
        <v>225</v>
      </c>
      <c r="C60" t="s">
        <v>292</v>
      </c>
    </row>
    <row r="61" spans="1:3" x14ac:dyDescent="0.45">
      <c r="A61" s="1" t="s">
        <v>337</v>
      </c>
      <c r="B61" t="s">
        <v>115</v>
      </c>
      <c r="C61" t="s">
        <v>116</v>
      </c>
    </row>
    <row r="62" spans="1:3" x14ac:dyDescent="0.45">
      <c r="A62" s="1" t="s">
        <v>337</v>
      </c>
      <c r="B62" t="s">
        <v>115</v>
      </c>
      <c r="C62" t="s">
        <v>117</v>
      </c>
    </row>
    <row r="63" spans="1:3" x14ac:dyDescent="0.45">
      <c r="A63" s="1" t="s">
        <v>337</v>
      </c>
      <c r="B63" t="s">
        <v>115</v>
      </c>
      <c r="C63" t="s">
        <v>118</v>
      </c>
    </row>
    <row r="64" spans="1:3" x14ac:dyDescent="0.45">
      <c r="A64" s="1" t="s">
        <v>337</v>
      </c>
      <c r="B64" t="s">
        <v>115</v>
      </c>
      <c r="C64" t="s">
        <v>119</v>
      </c>
    </row>
    <row r="65" spans="1:3" x14ac:dyDescent="0.45">
      <c r="A65" s="1" t="s">
        <v>337</v>
      </c>
      <c r="B65" t="s">
        <v>115</v>
      </c>
      <c r="C65" t="s">
        <v>120</v>
      </c>
    </row>
    <row r="66" spans="1:3" x14ac:dyDescent="0.45">
      <c r="A66" s="1" t="s">
        <v>337</v>
      </c>
      <c r="B66" t="s">
        <v>121</v>
      </c>
      <c r="C66" t="s">
        <v>122</v>
      </c>
    </row>
    <row r="67" spans="1:3" x14ac:dyDescent="0.45">
      <c r="A67" s="1" t="s">
        <v>337</v>
      </c>
      <c r="B67" t="s">
        <v>121</v>
      </c>
      <c r="C67" t="s">
        <v>123</v>
      </c>
    </row>
    <row r="68" spans="1:3" x14ac:dyDescent="0.45">
      <c r="A68" s="1" t="s">
        <v>337</v>
      </c>
      <c r="B68" t="s">
        <v>121</v>
      </c>
      <c r="C68" t="s">
        <v>124</v>
      </c>
    </row>
    <row r="69" spans="1:3" x14ac:dyDescent="0.45">
      <c r="A69" s="1" t="s">
        <v>337</v>
      </c>
      <c r="B69" t="s">
        <v>121</v>
      </c>
      <c r="C69" t="s">
        <v>125</v>
      </c>
    </row>
    <row r="70" spans="1:3" x14ac:dyDescent="0.45">
      <c r="A70" s="1" t="s">
        <v>337</v>
      </c>
      <c r="B70" t="s">
        <v>121</v>
      </c>
      <c r="C70" t="s">
        <v>126</v>
      </c>
    </row>
    <row r="71" spans="1:3" x14ac:dyDescent="0.45">
      <c r="A71" s="1" t="s">
        <v>337</v>
      </c>
      <c r="B71" t="s">
        <v>127</v>
      </c>
      <c r="C71" t="s">
        <v>128</v>
      </c>
    </row>
    <row r="72" spans="1:3" x14ac:dyDescent="0.45">
      <c r="A72" s="1" t="s">
        <v>337</v>
      </c>
      <c r="B72" t="s">
        <v>127</v>
      </c>
      <c r="C72" t="s">
        <v>129</v>
      </c>
    </row>
    <row r="73" spans="1:3" x14ac:dyDescent="0.45">
      <c r="A73" s="1" t="s">
        <v>337</v>
      </c>
      <c r="B73" t="s">
        <v>127</v>
      </c>
      <c r="C73" t="s">
        <v>130</v>
      </c>
    </row>
    <row r="74" spans="1:3" x14ac:dyDescent="0.45">
      <c r="A74" s="1" t="s">
        <v>337</v>
      </c>
      <c r="B74" t="s">
        <v>127</v>
      </c>
      <c r="C74" t="s">
        <v>131</v>
      </c>
    </row>
    <row r="75" spans="1:3" x14ac:dyDescent="0.45">
      <c r="A75" s="1" t="s">
        <v>337</v>
      </c>
      <c r="B75" t="s">
        <v>127</v>
      </c>
      <c r="C75" t="s">
        <v>132</v>
      </c>
    </row>
    <row r="76" spans="1:3" x14ac:dyDescent="0.45">
      <c r="A76" s="1" t="s">
        <v>337</v>
      </c>
      <c r="B76" t="s">
        <v>127</v>
      </c>
      <c r="C76" t="s">
        <v>133</v>
      </c>
    </row>
    <row r="77" spans="1:3" x14ac:dyDescent="0.45">
      <c r="A77" s="1" t="s">
        <v>337</v>
      </c>
      <c r="B77" t="s">
        <v>134</v>
      </c>
      <c r="C77" t="s">
        <v>135</v>
      </c>
    </row>
    <row r="78" spans="1:3" x14ac:dyDescent="0.45">
      <c r="A78" s="1" t="s">
        <v>337</v>
      </c>
      <c r="B78" t="s">
        <v>134</v>
      </c>
      <c r="C78" t="s">
        <v>136</v>
      </c>
    </row>
    <row r="79" spans="1:3" x14ac:dyDescent="0.45">
      <c r="A79" s="1" t="s">
        <v>337</v>
      </c>
      <c r="B79" t="s">
        <v>134</v>
      </c>
      <c r="C79" t="s">
        <v>137</v>
      </c>
    </row>
    <row r="80" spans="1:3" x14ac:dyDescent="0.45">
      <c r="A80" s="1" t="s">
        <v>337</v>
      </c>
      <c r="B80" t="s">
        <v>134</v>
      </c>
      <c r="C80" t="s">
        <v>138</v>
      </c>
    </row>
    <row r="81" spans="1:3" x14ac:dyDescent="0.45">
      <c r="A81" s="1" t="s">
        <v>338</v>
      </c>
      <c r="B81" t="s">
        <v>139</v>
      </c>
      <c r="C81" t="s">
        <v>139</v>
      </c>
    </row>
    <row r="82" spans="1:3" x14ac:dyDescent="0.45">
      <c r="A82" s="1" t="s">
        <v>338</v>
      </c>
      <c r="B82" t="s">
        <v>139</v>
      </c>
      <c r="C82" t="s">
        <v>140</v>
      </c>
    </row>
    <row r="83" spans="1:3" x14ac:dyDescent="0.45">
      <c r="A83" s="1" t="s">
        <v>338</v>
      </c>
      <c r="B83" t="s">
        <v>139</v>
      </c>
      <c r="C83" t="s">
        <v>141</v>
      </c>
    </row>
    <row r="84" spans="1:3" x14ac:dyDescent="0.45">
      <c r="A84" s="1" t="s">
        <v>338</v>
      </c>
      <c r="B84" t="s">
        <v>139</v>
      </c>
      <c r="C84" t="s">
        <v>142</v>
      </c>
    </row>
    <row r="85" spans="1:3" x14ac:dyDescent="0.45">
      <c r="A85" s="1" t="s">
        <v>338</v>
      </c>
      <c r="B85" t="s">
        <v>139</v>
      </c>
      <c r="C85" t="s">
        <v>143</v>
      </c>
    </row>
    <row r="86" spans="1:3" x14ac:dyDescent="0.45">
      <c r="A86" s="1" t="s">
        <v>338</v>
      </c>
      <c r="B86" t="s">
        <v>139</v>
      </c>
      <c r="C86" t="s">
        <v>144</v>
      </c>
    </row>
    <row r="87" spans="1:3" x14ac:dyDescent="0.45">
      <c r="A87" s="1" t="s">
        <v>338</v>
      </c>
      <c r="B87" t="s">
        <v>139</v>
      </c>
      <c r="C87" t="s">
        <v>145</v>
      </c>
    </row>
    <row r="88" spans="1:3" x14ac:dyDescent="0.45">
      <c r="A88" s="1" t="s">
        <v>338</v>
      </c>
      <c r="B88" t="s">
        <v>139</v>
      </c>
      <c r="C88" t="s">
        <v>146</v>
      </c>
    </row>
    <row r="89" spans="1:3" x14ac:dyDescent="0.45">
      <c r="A89" s="1" t="s">
        <v>338</v>
      </c>
      <c r="B89" t="s">
        <v>139</v>
      </c>
      <c r="C89" t="s">
        <v>147</v>
      </c>
    </row>
    <row r="90" spans="1:3" x14ac:dyDescent="0.45">
      <c r="A90" s="1" t="s">
        <v>338</v>
      </c>
      <c r="B90" t="s">
        <v>148</v>
      </c>
      <c r="C90" t="s">
        <v>148</v>
      </c>
    </row>
    <row r="91" spans="1:3" x14ac:dyDescent="0.45">
      <c r="A91" s="1" t="s">
        <v>338</v>
      </c>
      <c r="B91" t="s">
        <v>148</v>
      </c>
      <c r="C91" t="s">
        <v>149</v>
      </c>
    </row>
    <row r="92" spans="1:3" x14ac:dyDescent="0.45">
      <c r="A92" s="1" t="s">
        <v>338</v>
      </c>
      <c r="B92" t="s">
        <v>148</v>
      </c>
      <c r="C92" t="s">
        <v>150</v>
      </c>
    </row>
    <row r="93" spans="1:3" x14ac:dyDescent="0.45">
      <c r="A93" s="1" t="s">
        <v>338</v>
      </c>
      <c r="B93" t="s">
        <v>148</v>
      </c>
      <c r="C93" t="s">
        <v>151</v>
      </c>
    </row>
    <row r="94" spans="1:3" x14ac:dyDescent="0.45">
      <c r="A94" s="1" t="s">
        <v>338</v>
      </c>
      <c r="B94" t="s">
        <v>148</v>
      </c>
      <c r="C94" t="s">
        <v>152</v>
      </c>
    </row>
    <row r="95" spans="1:3" x14ac:dyDescent="0.45">
      <c r="A95" s="1" t="s">
        <v>338</v>
      </c>
      <c r="B95" t="s">
        <v>153</v>
      </c>
      <c r="C95" t="s">
        <v>154</v>
      </c>
    </row>
    <row r="96" spans="1:3" x14ac:dyDescent="0.45">
      <c r="A96" s="1" t="s">
        <v>339</v>
      </c>
      <c r="B96" t="s">
        <v>155</v>
      </c>
      <c r="C96" t="s">
        <v>156</v>
      </c>
    </row>
    <row r="97" spans="1:3" x14ac:dyDescent="0.45">
      <c r="A97" s="1" t="s">
        <v>339</v>
      </c>
      <c r="B97" t="s">
        <v>155</v>
      </c>
      <c r="C97" t="s">
        <v>157</v>
      </c>
    </row>
    <row r="98" spans="1:3" x14ac:dyDescent="0.45">
      <c r="A98" s="1" t="s">
        <v>339</v>
      </c>
      <c r="B98" t="s">
        <v>155</v>
      </c>
      <c r="C98" t="s">
        <v>158</v>
      </c>
    </row>
    <row r="99" spans="1:3" x14ac:dyDescent="0.45">
      <c r="A99" s="1" t="s">
        <v>339</v>
      </c>
      <c r="B99" t="s">
        <v>155</v>
      </c>
      <c r="C99" t="s">
        <v>159</v>
      </c>
    </row>
    <row r="100" spans="1:3" x14ac:dyDescent="0.45">
      <c r="A100" s="1" t="s">
        <v>339</v>
      </c>
      <c r="B100" t="s">
        <v>160</v>
      </c>
      <c r="C100" t="s">
        <v>161</v>
      </c>
    </row>
    <row r="101" spans="1:3" x14ac:dyDescent="0.45">
      <c r="A101" s="1" t="s">
        <v>339</v>
      </c>
      <c r="B101" t="s">
        <v>160</v>
      </c>
      <c r="C101" t="s">
        <v>162</v>
      </c>
    </row>
    <row r="102" spans="1:3" x14ac:dyDescent="0.45">
      <c r="A102" s="1" t="s">
        <v>339</v>
      </c>
      <c r="B102" t="s">
        <v>160</v>
      </c>
      <c r="C102" t="s">
        <v>163</v>
      </c>
    </row>
    <row r="103" spans="1:3" x14ac:dyDescent="0.45">
      <c r="A103" s="1" t="s">
        <v>339</v>
      </c>
      <c r="B103" t="s">
        <v>168</v>
      </c>
      <c r="C103" t="s">
        <v>164</v>
      </c>
    </row>
    <row r="104" spans="1:3" x14ac:dyDescent="0.45">
      <c r="A104" s="1" t="s">
        <v>339</v>
      </c>
      <c r="B104" t="s">
        <v>168</v>
      </c>
      <c r="C104" t="s">
        <v>165</v>
      </c>
    </row>
    <row r="105" spans="1:3" x14ac:dyDescent="0.45">
      <c r="A105" s="1" t="s">
        <v>339</v>
      </c>
      <c r="B105" t="s">
        <v>168</v>
      </c>
      <c r="C105" t="s">
        <v>166</v>
      </c>
    </row>
    <row r="106" spans="1:3" x14ac:dyDescent="0.45">
      <c r="A106" s="1" t="s">
        <v>339</v>
      </c>
      <c r="B106" t="s">
        <v>168</v>
      </c>
      <c r="C106" t="s">
        <v>167</v>
      </c>
    </row>
    <row r="107" spans="1:3" x14ac:dyDescent="0.45">
      <c r="A107" s="1" t="s">
        <v>339</v>
      </c>
      <c r="B107" t="s">
        <v>169</v>
      </c>
      <c r="C107" t="s">
        <v>170</v>
      </c>
    </row>
    <row r="108" spans="1:3" x14ac:dyDescent="0.45">
      <c r="A108" s="1" t="s">
        <v>339</v>
      </c>
      <c r="B108" t="s">
        <v>169</v>
      </c>
      <c r="C108" t="s">
        <v>171</v>
      </c>
    </row>
    <row r="109" spans="1:3" x14ac:dyDescent="0.45">
      <c r="A109" s="1" t="s">
        <v>339</v>
      </c>
      <c r="B109" t="s">
        <v>172</v>
      </c>
      <c r="C109" t="s">
        <v>173</v>
      </c>
    </row>
    <row r="110" spans="1:3" x14ac:dyDescent="0.45">
      <c r="A110" s="1" t="s">
        <v>339</v>
      </c>
      <c r="B110" t="s">
        <v>172</v>
      </c>
      <c r="C110" t="s">
        <v>174</v>
      </c>
    </row>
    <row r="111" spans="1:3" x14ac:dyDescent="0.45">
      <c r="A111" s="1" t="s">
        <v>339</v>
      </c>
      <c r="B111" t="s">
        <v>172</v>
      </c>
      <c r="C111" t="s">
        <v>175</v>
      </c>
    </row>
    <row r="112" spans="1:3" x14ac:dyDescent="0.45">
      <c r="A112" s="1" t="s">
        <v>339</v>
      </c>
      <c r="B112" t="s">
        <v>172</v>
      </c>
      <c r="C112" t="s">
        <v>176</v>
      </c>
    </row>
    <row r="113" spans="1:3" x14ac:dyDescent="0.45">
      <c r="A113" s="1" t="s">
        <v>339</v>
      </c>
      <c r="B113" t="s">
        <v>172</v>
      </c>
      <c r="C113" t="s">
        <v>177</v>
      </c>
    </row>
    <row r="114" spans="1:3" x14ac:dyDescent="0.45">
      <c r="A114" s="1" t="s">
        <v>339</v>
      </c>
      <c r="B114" t="s">
        <v>178</v>
      </c>
      <c r="C114" t="s">
        <v>179</v>
      </c>
    </row>
    <row r="115" spans="1:3" x14ac:dyDescent="0.45">
      <c r="A115" s="1" t="s">
        <v>339</v>
      </c>
      <c r="B115" t="s">
        <v>178</v>
      </c>
      <c r="C115" t="s">
        <v>180</v>
      </c>
    </row>
    <row r="116" spans="1:3" x14ac:dyDescent="0.45">
      <c r="A116" s="1" t="s">
        <v>339</v>
      </c>
      <c r="B116" t="s">
        <v>178</v>
      </c>
      <c r="C116" t="s">
        <v>181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取込用シート</vt:lpstr>
      <vt:lpstr>カテゴリ管理</vt:lpstr>
      <vt:lpstr>コード表</vt:lpstr>
      <vt:lpstr>コード表２</vt:lpstr>
      <vt:lpstr>作業用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manabykomagome05@outlook.jp</dc:creator>
  <cp:lastModifiedBy>manabykomagome05@outlook.jp</cp:lastModifiedBy>
  <dcterms:created xsi:type="dcterms:W3CDTF">2025-05-02T05:39:59Z</dcterms:created>
  <dcterms:modified xsi:type="dcterms:W3CDTF">2025-05-21T02:43:55Z</dcterms:modified>
</cp:coreProperties>
</file>